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econciliation" sheetId="2" state="visible" r:id="rId2"/>
  </sheets>
  <definedNames>
    <definedName name="_xlnm._FilterDatabase" localSheetId="0" hidden="1">'Transactions'!$A$4:$J$83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</font>
    <font>
      <b val="1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6" fontId="4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166" fontId="4" fillId="4" borderId="1" pivotButton="0" quotePrefix="0" xfId="0"/>
    <xf numFmtId="0" fontId="5" fillId="0" borderId="0" pivotButton="0" quotePrefix="0" xfId="0"/>
    <xf numFmtId="0" fontId="3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42" customWidth="1" min="5" max="5"/>
    <col width="14" customWidth="1" min="6" max="6"/>
    <col width="18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David Jones American Express Platinum Card — Transactions</t>
        </is>
      </c>
    </row>
    <row r="2">
      <c r="A2" s="2" t="inlineStr">
        <is>
          <t>Cardmember: VICKI ZERTOPOULOS  |  Account: xxxx-xxxxxx-64003  |  Statement: 22 July 2023  |  Period: 23 June – 22 July 2023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Cardholder</t>
        </is>
      </c>
      <c r="D4" s="3" t="inlineStr">
        <is>
          <t>Section</t>
        </is>
      </c>
      <c r="E4" s="3" t="inlineStr">
        <is>
          <t>Description (Merchant &amp; Location)</t>
        </is>
      </c>
      <c r="F4" s="3" t="inlineStr">
        <is>
          <t>Foreign Amount</t>
        </is>
      </c>
      <c r="G4" s="3" t="inlineStr">
        <is>
          <t>Foreign Currency</t>
        </is>
      </c>
      <c r="H4" s="3" t="inlineStr">
        <is>
          <t>Debit (AUD)</t>
        </is>
      </c>
      <c r="I4" s="3" t="inlineStr">
        <is>
          <t>Credit (AUD)</t>
        </is>
      </c>
      <c r="J4" s="3" t="inlineStr">
        <is>
          <t>Notes / Itemisation</t>
        </is>
      </c>
    </row>
    <row r="5">
      <c r="A5" s="4" t="n">
        <v>45098</v>
      </c>
      <c r="B5" s="5" t="inlineStr">
        <is>
          <t>2023-07-22</t>
        </is>
      </c>
      <c r="C5" s="5" t="inlineStr">
        <is>
          <t>VICKI ZERTOPOULOS</t>
        </is>
      </c>
      <c r="D5" s="5" t="inlineStr">
        <is>
          <t>Standard</t>
        </is>
      </c>
      <c r="E5" s="5" t="inlineStr">
        <is>
          <t>PAYPAL *PADDLE.NET 4029357733</t>
        </is>
      </c>
      <c r="F5" s="6" t="n">
        <v>16.45</v>
      </c>
      <c r="G5" s="5" t="inlineStr">
        <is>
          <t>UNITED STATES DOLLAR</t>
        </is>
      </c>
      <c r="H5" s="6" t="n">
        <v>25.14</v>
      </c>
      <c r="I5" s="5" t="n"/>
      <c r="J5" s="5" t="inlineStr">
        <is>
          <t>AUD 25.14 includes conversion commission of AUD .73</t>
        </is>
      </c>
    </row>
    <row r="6">
      <c r="A6" s="4" t="n">
        <v>45101</v>
      </c>
      <c r="B6" s="5" t="inlineStr">
        <is>
          <t>2023-07-22</t>
        </is>
      </c>
      <c r="C6" s="5" t="inlineStr">
        <is>
          <t>VICKI ZERTOPOULOS</t>
        </is>
      </c>
      <c r="D6" s="5" t="inlineStr">
        <is>
          <t>Standard</t>
        </is>
      </c>
      <c r="E6" s="5" t="inlineStr">
        <is>
          <t>PLAN ROLL IN FROM 3 MONTHS PAY LATER</t>
        </is>
      </c>
      <c r="F6" s="5" t="n"/>
      <c r="G6" s="5" t="inlineStr"/>
      <c r="H6" s="6" t="n">
        <v>684</v>
      </c>
      <c r="I6" s="5" t="n"/>
      <c r="J6" s="5" t="inlineStr"/>
    </row>
    <row r="7">
      <c r="A7" s="4" t="n">
        <v>45101</v>
      </c>
      <c r="B7" s="5" t="inlineStr">
        <is>
          <t>2023-07-22</t>
        </is>
      </c>
      <c r="C7" s="5" t="inlineStr">
        <is>
          <t>GEORGE DOUFAS</t>
        </is>
      </c>
      <c r="D7" s="5" t="inlineStr">
        <is>
          <t>Standard</t>
        </is>
      </c>
      <c r="E7" s="5" t="inlineStr">
        <is>
          <t>BUNNINGSSAUSAGESIZZLE HAWTHORN EAST</t>
        </is>
      </c>
      <c r="F7" s="5" t="n"/>
      <c r="G7" s="5" t="inlineStr"/>
      <c r="H7" s="6" t="n">
        <v>3.5</v>
      </c>
      <c r="I7" s="5" t="n"/>
      <c r="J7" s="5" t="inlineStr"/>
    </row>
    <row r="8">
      <c r="A8" s="4" t="n">
        <v>45101</v>
      </c>
      <c r="B8" s="5" t="inlineStr">
        <is>
          <t>2023-07-22</t>
        </is>
      </c>
      <c r="C8" s="5" t="inlineStr">
        <is>
          <t>GEORGE DOUFAS</t>
        </is>
      </c>
      <c r="D8" s="5" t="inlineStr">
        <is>
          <t>Standard</t>
        </is>
      </c>
      <c r="E8" s="5" t="inlineStr">
        <is>
          <t>PHARMACYSMART COMPOUNDI BALWYN NORTH</t>
        </is>
      </c>
      <c r="F8" s="5" t="n"/>
      <c r="G8" s="5" t="inlineStr"/>
      <c r="H8" s="6" t="n">
        <v>111</v>
      </c>
      <c r="I8" s="5" t="n"/>
      <c r="J8" s="5" t="inlineStr"/>
    </row>
    <row r="9">
      <c r="A9" s="4" t="n">
        <v>45102</v>
      </c>
      <c r="B9" s="5" t="inlineStr">
        <is>
          <t>2023-07-22</t>
        </is>
      </c>
      <c r="C9" s="5" t="inlineStr">
        <is>
          <t>(account)</t>
        </is>
      </c>
      <c r="D9" s="5" t="inlineStr">
        <is>
          <t>Payment</t>
        </is>
      </c>
      <c r="E9" s="5" t="inlineStr">
        <is>
          <t>ONLINE PAYMENT RECEIVED - THANKYOU W</t>
        </is>
      </c>
      <c r="F9" s="5" t="n"/>
      <c r="G9" s="5" t="inlineStr"/>
      <c r="H9" s="5" t="n"/>
      <c r="I9" s="6" t="n">
        <v>2684.23</v>
      </c>
      <c r="J9" s="5" t="inlineStr"/>
    </row>
    <row r="10">
      <c r="A10" s="4" t="n">
        <v>45102</v>
      </c>
      <c r="B10" s="5" t="inlineStr">
        <is>
          <t>2023-07-22</t>
        </is>
      </c>
      <c r="C10" s="5" t="inlineStr">
        <is>
          <t>(account)</t>
        </is>
      </c>
      <c r="D10" s="5" t="inlineStr">
        <is>
          <t>Payment</t>
        </is>
      </c>
      <c r="E10" s="5" t="inlineStr">
        <is>
          <t>PAYMENT RECEIVED - THANK YOU</t>
        </is>
      </c>
      <c r="F10" s="5" t="n"/>
      <c r="G10" s="5" t="inlineStr"/>
      <c r="H10" s="5" t="n"/>
      <c r="I10" s="6" t="n">
        <v>350</v>
      </c>
      <c r="J10" s="5" t="inlineStr"/>
    </row>
    <row r="11">
      <c r="A11" s="4" t="n">
        <v>45102</v>
      </c>
      <c r="B11" s="5" t="inlineStr">
        <is>
          <t>2023-07-22</t>
        </is>
      </c>
      <c r="C11" s="5" t="inlineStr">
        <is>
          <t>(account)</t>
        </is>
      </c>
      <c r="D11" s="5" t="inlineStr">
        <is>
          <t>Payment</t>
        </is>
      </c>
      <c r="E11" s="5" t="inlineStr">
        <is>
          <t>PAYMENT RECEIVED - THANK YOU</t>
        </is>
      </c>
      <c r="F11" s="5" t="n"/>
      <c r="G11" s="5" t="inlineStr"/>
      <c r="H11" s="5" t="n"/>
      <c r="I11" s="6" t="n">
        <v>1000</v>
      </c>
      <c r="J11" s="5" t="inlineStr"/>
    </row>
    <row r="12">
      <c r="A12" s="4" t="n">
        <v>45102</v>
      </c>
      <c r="B12" s="5" t="inlineStr">
        <is>
          <t>2023-07-22</t>
        </is>
      </c>
      <c r="C12" s="5" t="inlineStr">
        <is>
          <t>VICKI ZERTOPOULOS</t>
        </is>
      </c>
      <c r="D12" s="5" t="inlineStr">
        <is>
          <t>Standard</t>
        </is>
      </c>
      <c r="E12" s="5" t="inlineStr">
        <is>
          <t>DAVID JONES DONCASTER - DONCASTER</t>
        </is>
      </c>
      <c r="F12" s="5" t="n"/>
      <c r="G12" s="5" t="inlineStr"/>
      <c r="H12" s="6" t="n">
        <v>63.2</v>
      </c>
      <c r="I12" s="5" t="n"/>
      <c r="J12" s="5" t="inlineStr">
        <is>
          <t>320803399771 Chanel 79.00; 320803399771 DISCOUNT 15.80CR</t>
        </is>
      </c>
    </row>
    <row r="13">
      <c r="A13" s="4" t="n">
        <v>45102</v>
      </c>
      <c r="B13" s="5" t="inlineStr">
        <is>
          <t>2023-07-22</t>
        </is>
      </c>
      <c r="C13" s="5" t="inlineStr">
        <is>
          <t>VICKI ZERTOPOULOS</t>
        </is>
      </c>
      <c r="D13" s="5" t="inlineStr">
        <is>
          <t>Standard</t>
        </is>
      </c>
      <c r="E13" s="5" t="inlineStr">
        <is>
          <t>DAVID JONES DONCASTER - DONCASTER</t>
        </is>
      </c>
      <c r="F13" s="5" t="n"/>
      <c r="G13" s="5" t="inlineStr"/>
      <c r="H13" s="6" t="n">
        <v>151.2</v>
      </c>
      <c r="I13" s="5" t="n"/>
      <c r="J13" s="5" t="inlineStr">
        <is>
          <t>320803045348 MW Denim 189.00; 320803045348 DISCOUNT 37.80CR; Biller Code: 88013 date, increased by a single conversion commission of 3.00%. Any Charges converted by</t>
        </is>
      </c>
    </row>
    <row r="14">
      <c r="A14" s="4" t="n">
        <v>45102</v>
      </c>
      <c r="B14" s="5" t="inlineStr">
        <is>
          <t>2023-07-22</t>
        </is>
      </c>
      <c r="C14" s="5" t="inlineStr">
        <is>
          <t>VICKI ZERTOPOULOS</t>
        </is>
      </c>
      <c r="D14" s="5" t="inlineStr">
        <is>
          <t>Standard</t>
        </is>
      </c>
      <c r="E14" s="5" t="inlineStr">
        <is>
          <t>DAVID JONES DONCASTER - DONCASTER</t>
        </is>
      </c>
      <c r="F14" s="5" t="n"/>
      <c r="G14" s="5" t="inlineStr"/>
      <c r="H14" s="6" t="n">
        <v>95.88</v>
      </c>
      <c r="I14" s="5" t="n"/>
      <c r="J14" s="5" t="inlineStr">
        <is>
          <t>320803084489 Tabletop 119.85; 320803084489 DISCOUNT 23.97CR</t>
        </is>
      </c>
    </row>
    <row r="15">
      <c r="A15" s="4" t="n">
        <v>45102</v>
      </c>
      <c r="B15" s="5" t="inlineStr">
        <is>
          <t>2023-07-22</t>
        </is>
      </c>
      <c r="C15" s="5" t="inlineStr">
        <is>
          <t>VICKI ZERTOPOULOS</t>
        </is>
      </c>
      <c r="D15" s="5" t="inlineStr">
        <is>
          <t>Standard</t>
        </is>
      </c>
      <c r="E15" s="5" t="inlineStr">
        <is>
          <t>DAVID JONES DONCASTER - DONCASTER</t>
        </is>
      </c>
      <c r="F15" s="5" t="n"/>
      <c r="G15" s="5" t="inlineStr"/>
      <c r="H15" s="6" t="n">
        <v>519.2</v>
      </c>
      <c r="I15" s="5" t="n"/>
      <c r="J15" s="5" t="inlineStr">
        <is>
          <t>320803045356 M Mainstream Sh 649.00; 320803045356 DISCOUNT 129.80CR</t>
        </is>
      </c>
    </row>
    <row r="16">
      <c r="A16" s="4" t="n">
        <v>45102</v>
      </c>
      <c r="B16" s="5" t="inlineStr">
        <is>
          <t>2023-07-22</t>
        </is>
      </c>
      <c r="C16" s="5" t="inlineStr">
        <is>
          <t>VICKI ZERTOPOULOS</t>
        </is>
      </c>
      <c r="D16" s="5" t="inlineStr">
        <is>
          <t>Standard</t>
        </is>
      </c>
      <c r="E16" s="5" t="inlineStr">
        <is>
          <t>DAVID JONES DONCASTER - DONCASTER</t>
        </is>
      </c>
      <c r="F16" s="5" t="n"/>
      <c r="G16" s="5" t="inlineStr"/>
      <c r="H16" s="6" t="n">
        <v>795.88</v>
      </c>
      <c r="I16" s="5" t="n"/>
      <c r="J16" s="5" t="inlineStr">
        <is>
      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      </is>
      </c>
    </row>
    <row r="17">
      <c r="A17" s="4" t="n">
        <v>45102</v>
      </c>
      <c r="B17" s="5" t="inlineStr">
        <is>
          <t>2023-07-22</t>
        </is>
      </c>
      <c r="C17" s="5" t="inlineStr">
        <is>
          <t>VICKI ZERTOPOULOS</t>
        </is>
      </c>
      <c r="D17" s="5" t="inlineStr">
        <is>
          <t>Standard</t>
        </is>
      </c>
      <c r="E17" s="5" t="inlineStr">
        <is>
          <t>DAVID JONES DONCASTER - DONCASTER</t>
        </is>
      </c>
      <c r="F17" s="5" t="n"/>
      <c r="G17" s="5" t="inlineStr"/>
      <c r="H17" s="6" t="n">
        <v>64</v>
      </c>
      <c r="I17" s="5" t="n"/>
      <c r="J17" s="5" t="inlineStr">
        <is>
          <t>320803399774 Chanel 80.00; 320803399774 DISCOUNT 16.00CR</t>
        </is>
      </c>
    </row>
    <row r="18">
      <c r="A18" s="4" t="n">
        <v>45102</v>
      </c>
      <c r="B18" s="5" t="inlineStr">
        <is>
          <t>2023-07-22</t>
        </is>
      </c>
      <c r="C18" s="5" t="inlineStr">
        <is>
          <t>VICKI ZERTOPOULOS</t>
        </is>
      </c>
      <c r="D18" s="5" t="inlineStr">
        <is>
          <t>Standard</t>
        </is>
      </c>
      <c r="E18" s="5" t="inlineStr">
        <is>
          <t>RUNTO GROUP PTY LTD DONCASTER</t>
        </is>
      </c>
      <c r="F18" s="5" t="n"/>
      <c r="G18" s="5" t="inlineStr"/>
      <c r="H18" s="6" t="n">
        <v>13.5</v>
      </c>
      <c r="I18" s="5" t="n"/>
      <c r="J18" s="5" t="inlineStr"/>
    </row>
    <row r="19">
      <c r="A19" s="4" t="n">
        <v>45102</v>
      </c>
      <c r="B19" s="5" t="inlineStr">
        <is>
          <t>2023-07-22</t>
        </is>
      </c>
      <c r="C19" s="5" t="inlineStr">
        <is>
          <t>VICKI ZERTOPOULOS</t>
        </is>
      </c>
      <c r="D19" s="5" t="inlineStr">
        <is>
          <t>Standard</t>
        </is>
      </c>
      <c r="E19" s="5" t="inlineStr">
        <is>
          <t>EASTERN MOUNTAIN CENTRE DEEPDENE</t>
        </is>
      </c>
      <c r="F19" s="5" t="n"/>
      <c r="G19" s="5" t="inlineStr"/>
      <c r="H19" s="6" t="n">
        <v>293.75</v>
      </c>
      <c r="I19" s="5" t="n"/>
      <c r="J19" s="5" t="inlineStr"/>
    </row>
    <row r="20">
      <c r="A20" s="4" t="n">
        <v>45102</v>
      </c>
      <c r="B20" s="5" t="inlineStr">
        <is>
          <t>2023-07-22</t>
        </is>
      </c>
      <c r="C20" s="5" t="inlineStr">
        <is>
          <t>VICKI ZERTOPOULOS</t>
        </is>
      </c>
      <c r="D20" s="5" t="inlineStr">
        <is>
          <t>Standard</t>
        </is>
      </c>
      <c r="E20" s="5" t="inlineStr">
        <is>
          <t>KATHMANDU - DONCASTER DONCASTER</t>
        </is>
      </c>
      <c r="F20" s="5" t="n"/>
      <c r="G20" s="5" t="inlineStr"/>
      <c r="H20" s="6" t="n">
        <v>59.98</v>
      </c>
      <c r="I20" s="5" t="n"/>
      <c r="J20" s="5" t="inlineStr"/>
    </row>
    <row r="21">
      <c r="A21" s="4" t="n">
        <v>45102</v>
      </c>
      <c r="B21" s="5" t="inlineStr">
        <is>
          <t>2023-07-22</t>
        </is>
      </c>
      <c r="C21" s="5" t="inlineStr">
        <is>
          <t>VICKI ZERTOPOULOS</t>
        </is>
      </c>
      <c r="D21" s="5" t="inlineStr">
        <is>
          <t>Standard</t>
        </is>
      </c>
      <c r="E21" s="5" t="inlineStr">
        <is>
          <t>6453 DONCASTER DONCASTER</t>
        </is>
      </c>
      <c r="F21" s="5" t="n"/>
      <c r="G21" s="5" t="inlineStr"/>
      <c r="H21" s="6" t="n">
        <v>55</v>
      </c>
      <c r="I21" s="5" t="n"/>
      <c r="J21" s="5" t="inlineStr"/>
    </row>
    <row r="22">
      <c r="A22" s="4" t="n">
        <v>45102</v>
      </c>
      <c r="B22" s="5" t="inlineStr">
        <is>
          <t>2023-07-22</t>
        </is>
      </c>
      <c r="C22" s="5" t="inlineStr">
        <is>
          <t>VICKI ZERTOPOULOS</t>
        </is>
      </c>
      <c r="D22" s="5" t="inlineStr">
        <is>
          <t>Standard</t>
        </is>
      </c>
      <c r="E22" s="5" t="inlineStr">
        <is>
          <t>WINDCAVE*RUNNING BARE D DONCASTER</t>
        </is>
      </c>
      <c r="F22" s="5" t="n"/>
      <c r="G22" s="5" t="inlineStr"/>
      <c r="H22" s="6" t="n">
        <v>35.98</v>
      </c>
      <c r="I22" s="5" t="n"/>
      <c r="J22" s="5" t="inlineStr"/>
    </row>
    <row r="23">
      <c r="A23" s="4" t="n">
        <v>45102</v>
      </c>
      <c r="B23" s="5" t="inlineStr">
        <is>
          <t>2023-07-22</t>
        </is>
      </c>
      <c r="C23" s="5" t="inlineStr">
        <is>
          <t>GEORGE DOUFAS</t>
        </is>
      </c>
      <c r="D23" s="5" t="inlineStr">
        <is>
          <t>Standard</t>
        </is>
      </c>
      <c r="E23" s="5" t="inlineStr">
        <is>
          <t>CHEMIST WAREHOUSE BALWY BALWYN</t>
        </is>
      </c>
      <c r="F23" s="5" t="n"/>
      <c r="G23" s="5" t="inlineStr"/>
      <c r="H23" s="6" t="n">
        <v>21.48</v>
      </c>
      <c r="I23" s="5" t="n"/>
      <c r="J23" s="5" t="inlineStr"/>
    </row>
    <row r="24">
      <c r="A24" s="4" t="n">
        <v>45103</v>
      </c>
      <c r="B24" s="5" t="inlineStr">
        <is>
          <t>2023-07-22</t>
        </is>
      </c>
      <c r="C24" s="5" t="inlineStr">
        <is>
          <t>(account)</t>
        </is>
      </c>
      <c r="D24" s="5" t="inlineStr">
        <is>
          <t>Payment</t>
        </is>
      </c>
      <c r="E24" s="5" t="inlineStr">
        <is>
          <t>BPAY PAYMENT-THANK YOU REC # 0041863</t>
        </is>
      </c>
      <c r="F24" s="5" t="n"/>
      <c r="G24" s="5" t="inlineStr"/>
      <c r="H24" s="5" t="n"/>
      <c r="I24" s="6" t="n">
        <v>22000</v>
      </c>
      <c r="J24" s="5" t="inlineStr"/>
    </row>
    <row r="25">
      <c r="A25" s="4" t="n">
        <v>45103</v>
      </c>
      <c r="B25" s="5" t="inlineStr">
        <is>
          <t>2023-07-22</t>
        </is>
      </c>
      <c r="C25" s="5" t="inlineStr">
        <is>
          <t>VICKI ZERTOPOULOS</t>
        </is>
      </c>
      <c r="D25" s="5" t="inlineStr">
        <is>
          <t>Standard</t>
        </is>
      </c>
      <c r="E25" s="5" t="inlineStr">
        <is>
          <t>MSFT *&lt;E0100NWF6W&gt; MSBILL.INFO</t>
        </is>
      </c>
      <c r="F25" s="5" t="n"/>
      <c r="G25" s="5" t="inlineStr"/>
      <c r="H25" s="6" t="n">
        <v>6.05</v>
      </c>
      <c r="I25" s="5" t="n"/>
      <c r="J25" s="5" t="inlineStr"/>
    </row>
    <row r="26">
      <c r="A26" s="4" t="n">
        <v>45103</v>
      </c>
      <c r="B26" s="5" t="inlineStr">
        <is>
          <t>2023-07-22</t>
        </is>
      </c>
      <c r="C26" s="5" t="inlineStr">
        <is>
          <t>VICKI ZERTOPOULOS</t>
        </is>
      </c>
      <c r="D26" s="5" t="inlineStr">
        <is>
          <t>Standard</t>
        </is>
      </c>
      <c r="E26" s="5" t="inlineStr">
        <is>
          <t>DAVID JONES BOURKE STRE MELBOURNE</t>
        </is>
      </c>
      <c r="F26" s="5" t="n"/>
      <c r="G26" s="5" t="inlineStr"/>
      <c r="H26" s="6" t="n">
        <v>750.4</v>
      </c>
      <c r="I26" s="5" t="n"/>
      <c r="J26" s="5" t="inlineStr">
        <is>
          <t>320101905821 Maje 469.00; 320101905821 DISCOUNT 93.80CR; 320101905821 Maje 469.00; 320101905821 DISCOUNT 93.80CR</t>
        </is>
      </c>
    </row>
    <row r="27">
      <c r="A27" s="4" t="n">
        <v>45103</v>
      </c>
      <c r="B27" s="5" t="inlineStr">
        <is>
          <t>2023-07-22</t>
        </is>
      </c>
      <c r="C27" s="5" t="inlineStr">
        <is>
          <t>VICKI ZERTOPOULOS</t>
        </is>
      </c>
      <c r="D27" s="5" t="inlineStr">
        <is>
          <t>Standard</t>
        </is>
      </c>
      <c r="E27" s="5" t="inlineStr">
        <is>
          <t>UPWORK*-596061321REF DUBLIN</t>
        </is>
      </c>
      <c r="F27" s="5" t="n"/>
      <c r="G27" s="5" t="inlineStr"/>
      <c r="H27" s="6" t="n">
        <v>259.18</v>
      </c>
      <c r="I27" s="5" t="n"/>
      <c r="J27" s="5" t="inlineStr"/>
    </row>
    <row r="28">
      <c r="A28" s="4" t="n">
        <v>45103</v>
      </c>
      <c r="B28" s="5" t="inlineStr">
        <is>
          <t>2023-07-22</t>
        </is>
      </c>
      <c r="C28" s="5" t="inlineStr">
        <is>
          <t>VICKI ZERTOPOULOS</t>
        </is>
      </c>
      <c r="D28" s="5" t="inlineStr">
        <is>
          <t>Standard</t>
        </is>
      </c>
      <c r="E28" s="5" t="inlineStr">
        <is>
          <t>SQUARESPACE INC. NEW YORK</t>
        </is>
      </c>
      <c r="F28" s="5" t="n"/>
      <c r="G28" s="5" t="inlineStr"/>
      <c r="H28" s="6" t="n">
        <v>22</v>
      </c>
      <c r="I28" s="5" t="n"/>
      <c r="J28" s="5" t="inlineStr"/>
    </row>
    <row r="29">
      <c r="A29" s="4" t="n">
        <v>45103</v>
      </c>
      <c r="B29" s="5" t="inlineStr">
        <is>
          <t>2023-07-22</t>
        </is>
      </c>
      <c r="C29" s="5" t="inlineStr">
        <is>
          <t>VICKI ZERTOPOULOS</t>
        </is>
      </c>
      <c r="D29" s="5" t="inlineStr">
        <is>
          <t>Standard</t>
        </is>
      </c>
      <c r="E29" s="5" t="inlineStr">
        <is>
          <t>MCDONALDS BOURKE &amp; RUSS MELBOURNE</t>
        </is>
      </c>
      <c r="F29" s="5" t="n"/>
      <c r="G29" s="5" t="inlineStr"/>
      <c r="H29" s="6" t="n">
        <v>13.35</v>
      </c>
      <c r="I29" s="5" t="n"/>
      <c r="J29" s="5" t="inlineStr"/>
    </row>
    <row r="30">
      <c r="A30" s="4" t="n">
        <v>45103</v>
      </c>
      <c r="B30" s="5" t="inlineStr">
        <is>
          <t>2023-07-22</t>
        </is>
      </c>
      <c r="C30" s="5" t="inlineStr">
        <is>
          <t>VICKI ZERTOPOULOS</t>
        </is>
      </c>
      <c r="D30" s="5" t="inlineStr">
        <is>
          <t>Deferred Credit Plan</t>
        </is>
      </c>
      <c r="E30" s="5" t="inlineStr">
        <is>
          <t>DAVID JONES BOURKE STRE MELBOURNE</t>
        </is>
      </c>
      <c r="F30" s="5" t="n"/>
      <c r="G30" s="5" t="inlineStr"/>
      <c r="H30" s="5" t="n"/>
      <c r="I30" s="6" t="n">
        <v>639.2</v>
      </c>
      <c r="J30" s="5" t="inlineStr">
        <is>
          <t>3 Months Pay Later 320101915499 WW Aus Designer 799.00CR; 320101915499 DISCOUNT REVERSAL 159.80</t>
        </is>
      </c>
    </row>
    <row r="31">
      <c r="A31" s="4" t="n">
        <v>45106</v>
      </c>
      <c r="B31" s="5" t="inlineStr">
        <is>
          <t>2023-07-22</t>
        </is>
      </c>
      <c r="C31" s="5" t="inlineStr">
        <is>
          <t>VICKI ZERTOPOULOS</t>
        </is>
      </c>
      <c r="D31" s="5" t="inlineStr">
        <is>
          <t>Standard</t>
        </is>
      </c>
      <c r="E31" s="5" t="inlineStr">
        <is>
          <t>SR-LAURENT BAKERY GROUP KEW</t>
        </is>
      </c>
      <c r="F31" s="5" t="n"/>
      <c r="G31" s="5" t="inlineStr"/>
      <c r="H31" s="6" t="n">
        <v>15.3</v>
      </c>
      <c r="I31" s="5" t="n"/>
      <c r="J31" s="5" t="inlineStr"/>
    </row>
    <row r="32">
      <c r="A32" s="4" t="n">
        <v>45106</v>
      </c>
      <c r="B32" s="5" t="inlineStr">
        <is>
          <t>2023-07-22</t>
        </is>
      </c>
      <c r="C32" s="5" t="inlineStr">
        <is>
          <t>VICKI ZERTOPOULOS</t>
        </is>
      </c>
      <c r="D32" s="5" t="inlineStr">
        <is>
          <t>Standard</t>
        </is>
      </c>
      <c r="E32" s="5" t="inlineStr">
        <is>
          <t>PAYPAL *ISAGENIX AU 4806365670</t>
        </is>
      </c>
      <c r="F32" s="5" t="n"/>
      <c r="G32" s="5" t="inlineStr"/>
      <c r="H32" s="6" t="n">
        <v>217.93</v>
      </c>
      <c r="I32" s="5" t="n"/>
      <c r="J32" s="5" t="inlineStr"/>
    </row>
    <row r="33">
      <c r="A33" s="4" t="n">
        <v>45106</v>
      </c>
      <c r="B33" s="5" t="inlineStr">
        <is>
          <t>2023-07-22</t>
        </is>
      </c>
      <c r="C33" s="5" t="inlineStr">
        <is>
          <t>VICKI ZERTOPOULOS</t>
        </is>
      </c>
      <c r="D33" s="5" t="inlineStr">
        <is>
          <t>Standard</t>
        </is>
      </c>
      <c r="E33" s="5" t="inlineStr">
        <is>
          <t>PAYPAL *ELITEELEVEN 0405796518</t>
        </is>
      </c>
      <c r="F33" s="5" t="n"/>
      <c r="G33" s="5" t="inlineStr"/>
      <c r="H33" s="6" t="n">
        <v>104</v>
      </c>
      <c r="I33" s="5" t="n"/>
      <c r="J33" s="5" t="inlineStr"/>
    </row>
    <row r="34">
      <c r="A34" s="4" t="n">
        <v>45106</v>
      </c>
      <c r="B34" s="5" t="inlineStr">
        <is>
          <t>2023-07-22</t>
        </is>
      </c>
      <c r="C34" s="5" t="inlineStr">
        <is>
          <t>VICKI ZERTOPOULOS</t>
        </is>
      </c>
      <c r="D34" s="5" t="inlineStr">
        <is>
          <t>Standard</t>
        </is>
      </c>
      <c r="E34" s="5" t="inlineStr">
        <is>
          <t>SUPERFAST DIET TRADING BROOKVALE</t>
        </is>
      </c>
      <c r="F34" s="5" t="n"/>
      <c r="G34" s="5" t="inlineStr"/>
      <c r="H34" s="6" t="n">
        <v>21.6</v>
      </c>
      <c r="I34" s="5" t="n"/>
      <c r="J34" s="5" t="inlineStr"/>
    </row>
    <row r="35">
      <c r="A35" s="4" t="n">
        <v>45106</v>
      </c>
      <c r="B35" s="5" t="inlineStr">
        <is>
          <t>2023-07-22</t>
        </is>
      </c>
      <c r="C35" s="5" t="inlineStr">
        <is>
          <t>VICKI ZERTOPOULOS</t>
        </is>
      </c>
      <c r="D35" s="5" t="inlineStr">
        <is>
          <t>Standard</t>
        </is>
      </c>
      <c r="E35" s="5" t="inlineStr">
        <is>
          <t>DAVID JONES ONLINE - GP ARTARMON</t>
        </is>
      </c>
      <c r="F35" s="5" t="n"/>
      <c r="G35" s="5" t="inlineStr"/>
      <c r="H35" s="6" t="n">
        <v>497.24</v>
      </c>
      <c r="I35" s="5" t="n"/>
      <c r="J35" s="5" t="inlineStr"/>
    </row>
    <row r="36">
      <c r="A36" s="4" t="n">
        <v>45106</v>
      </c>
      <c r="B36" s="5" t="inlineStr">
        <is>
          <t>2023-07-22</t>
        </is>
      </c>
      <c r="C36" s="5" t="inlineStr">
        <is>
          <t>VICKI ZERTOPOULOS</t>
        </is>
      </c>
      <c r="D36" s="5" t="inlineStr">
        <is>
          <t>Standard</t>
        </is>
      </c>
      <c r="E36" s="5" t="inlineStr">
        <is>
          <t>DAVID JONES BOURKE STRE MELBOURNE</t>
        </is>
      </c>
      <c r="F36" s="5" t="n"/>
      <c r="G36" s="5" t="inlineStr"/>
      <c r="H36" s="6" t="n">
        <v>116.33</v>
      </c>
      <c r="I36" s="5" t="n"/>
      <c r="J36" s="5" t="inlineStr">
        <is>
      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      </is>
      </c>
    </row>
    <row r="37">
      <c r="A37" s="4" t="n">
        <v>45106</v>
      </c>
      <c r="B37" s="5" t="inlineStr">
        <is>
          <t>2023-07-22</t>
        </is>
      </c>
      <c r="C37" s="5" t="inlineStr">
        <is>
          <t>VICKI ZERTOPOULOS</t>
        </is>
      </c>
      <c r="D37" s="5" t="inlineStr">
        <is>
          <t>Standard</t>
        </is>
      </c>
      <c r="E37" s="5" t="inlineStr">
        <is>
          <t>DAVID JONES BOURKE STRE MELBOURNE</t>
        </is>
      </c>
      <c r="F37" s="5" t="n"/>
      <c r="G37" s="5" t="inlineStr"/>
      <c r="H37" s="6" t="n">
        <v>867.08</v>
      </c>
      <c r="I37" s="5" t="n"/>
      <c r="J37" s="5" t="inlineStr">
        <is>
      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      </is>
      </c>
    </row>
    <row r="38">
      <c r="A38" s="4" t="n">
        <v>45106</v>
      </c>
      <c r="B38" s="5" t="inlineStr">
        <is>
          <t>2023-07-22</t>
        </is>
      </c>
      <c r="C38" s="5" t="inlineStr">
        <is>
          <t>VICKI ZERTOPOULOS</t>
        </is>
      </c>
      <c r="D38" s="5" t="inlineStr">
        <is>
          <t>Standard</t>
        </is>
      </c>
      <c r="E38" s="5" t="inlineStr">
        <is>
          <t>DAVID JONES BOURKE STRE MELBOURNE</t>
        </is>
      </c>
      <c r="F38" s="5" t="n"/>
      <c r="G38" s="5" t="inlineStr"/>
      <c r="H38" s="6" t="n">
        <v>230.4</v>
      </c>
      <c r="I38" s="5" t="n"/>
      <c r="J38" s="5" t="inlineStr">
        <is>
          <t>320100157696 Georg Jensen 105.00; 320100157696 DISCOUNT 21.00CR; 320100157696 Georg Jensen 132.00; 320100157696 DISCOUNT 26.40CR; 320100157696 Georg Jensen 51.00; 320100157696 DISCOUNT 10.20CR</t>
        </is>
      </c>
    </row>
    <row r="39">
      <c r="A39" s="4" t="n">
        <v>45106</v>
      </c>
      <c r="B39" s="5" t="inlineStr">
        <is>
          <t>2023-07-22</t>
        </is>
      </c>
      <c r="C39" s="5" t="inlineStr">
        <is>
          <t>VICKI ZERTOPOULOS</t>
        </is>
      </c>
      <c r="D39" s="5" t="inlineStr">
        <is>
          <t>Standard</t>
        </is>
      </c>
      <c r="E39" s="5" t="inlineStr">
        <is>
          <t>MCDONALDS COLLINGWOOD 0 COLLINGWOOD</t>
        </is>
      </c>
      <c r="F39" s="5" t="n"/>
      <c r="G39" s="5" t="inlineStr"/>
      <c r="H39" s="6" t="n">
        <v>9.699999999999999</v>
      </c>
      <c r="I39" s="5" t="n"/>
      <c r="J39" s="5" t="inlineStr"/>
    </row>
    <row r="40">
      <c r="A40" s="4" t="n">
        <v>45106</v>
      </c>
      <c r="B40" s="5" t="inlineStr">
        <is>
          <t>2023-07-22</t>
        </is>
      </c>
      <c r="C40" s="5" t="inlineStr">
        <is>
          <t>VICKI ZERTOPOULOS</t>
        </is>
      </c>
      <c r="D40" s="5" t="inlineStr">
        <is>
          <t>Standard</t>
        </is>
      </c>
      <c r="E40" s="5" t="inlineStr">
        <is>
          <t>PAYPAL *UBER AU 4155184061</t>
        </is>
      </c>
      <c r="F40" s="5" t="n"/>
      <c r="G40" s="5" t="inlineStr"/>
      <c r="H40" s="6" t="n">
        <v>17.65</v>
      </c>
      <c r="I40" s="5" t="n"/>
      <c r="J40" s="5" t="inlineStr"/>
    </row>
    <row r="41">
      <c r="A41" s="4" t="n">
        <v>45106</v>
      </c>
      <c r="B41" s="5" t="inlineStr">
        <is>
          <t>2023-07-22</t>
        </is>
      </c>
      <c r="C41" s="5" t="inlineStr">
        <is>
          <t>VICKI ZERTOPOULOS</t>
        </is>
      </c>
      <c r="D41" s="5" t="inlineStr">
        <is>
          <t>Standard</t>
        </is>
      </c>
      <c r="E41" s="5" t="inlineStr">
        <is>
          <t>PAYPAL *UBER AU 4155184061</t>
        </is>
      </c>
      <c r="F41" s="5" t="n"/>
      <c r="G41" s="5" t="inlineStr"/>
      <c r="H41" s="6" t="n">
        <v>19.86</v>
      </c>
      <c r="I41" s="5" t="n"/>
      <c r="J41" s="5" t="inlineStr"/>
    </row>
    <row r="42">
      <c r="A42" s="4" t="n">
        <v>45106</v>
      </c>
      <c r="B42" s="5" t="inlineStr">
        <is>
          <t>2023-07-22</t>
        </is>
      </c>
      <c r="C42" s="5" t="inlineStr">
        <is>
          <t>VICKI ZERTOPOULOS</t>
        </is>
      </c>
      <c r="D42" s="5" t="inlineStr">
        <is>
          <t>Standard</t>
        </is>
      </c>
      <c r="E42" s="5" t="inlineStr">
        <is>
          <t>PAYPAL *SECRETSNEAK 0452480102</t>
        </is>
      </c>
      <c r="F42" s="5" t="n"/>
      <c r="G42" s="5" t="inlineStr"/>
      <c r="H42" s="6" t="n">
        <v>262</v>
      </c>
      <c r="I42" s="5" t="n"/>
      <c r="J42" s="5" t="inlineStr"/>
    </row>
    <row r="43">
      <c r="A43" s="4" t="n">
        <v>45106</v>
      </c>
      <c r="B43" s="5" t="inlineStr">
        <is>
          <t>2023-07-22</t>
        </is>
      </c>
      <c r="C43" s="5" t="inlineStr">
        <is>
          <t>VICKI ZERTOPOULOS</t>
        </is>
      </c>
      <c r="D43" s="5" t="inlineStr">
        <is>
          <t>Deferred Credit Plan</t>
        </is>
      </c>
      <c r="E43" s="5" t="inlineStr">
        <is>
          <t>DAVID JONES BOURKE STRE MELBOURNE</t>
        </is>
      </c>
      <c r="F43" s="5" t="n"/>
      <c r="G43" s="5" t="inlineStr"/>
      <c r="H43" s="6" t="n">
        <v>1040</v>
      </c>
      <c r="I43" s="5" t="n"/>
      <c r="J43" s="5" t="inlineStr">
        <is>
          <t>3 Months Pay Later 320101936761 Scanlan Theodor 650.00; 320101936761 DISCOUNT 130.00CR; 320101936761 Scanlan Theodor 650.00; 320101936761 DISCOUNT 130.00CR</t>
        </is>
      </c>
    </row>
    <row r="44">
      <c r="A44" s="4" t="n">
        <v>45107</v>
      </c>
      <c r="B44" s="5" t="inlineStr">
        <is>
          <t>2023-07-22</t>
        </is>
      </c>
      <c r="C44" s="5" t="inlineStr">
        <is>
          <t>VICKI ZERTOPOULOS</t>
        </is>
      </c>
      <c r="D44" s="5" t="inlineStr">
        <is>
          <t>Standard</t>
        </is>
      </c>
      <c r="E44" s="5" t="inlineStr">
        <is>
          <t>HAIGH'S - 20020 HAWTHORN</t>
        </is>
      </c>
      <c r="F44" s="5" t="n"/>
      <c r="G44" s="5" t="inlineStr"/>
      <c r="H44" s="6" t="n">
        <v>38.9</v>
      </c>
      <c r="I44" s="5" t="n"/>
      <c r="J44" s="5" t="inlineStr"/>
    </row>
    <row r="45">
      <c r="A45" s="4" t="n">
        <v>45107</v>
      </c>
      <c r="B45" s="5" t="inlineStr">
        <is>
          <t>2023-07-22</t>
        </is>
      </c>
      <c r="C45" s="5" t="inlineStr">
        <is>
          <t>VICKI ZERTOPOULOS</t>
        </is>
      </c>
      <c r="D45" s="5" t="inlineStr">
        <is>
          <t>Standard</t>
        </is>
      </c>
      <c r="E45" s="5" t="inlineStr">
        <is>
          <t>MEAT IN A BOX VICTORIA BALWYN NORTH</t>
        </is>
      </c>
      <c r="F45" s="5" t="n"/>
      <c r="G45" s="5" t="inlineStr"/>
      <c r="H45" s="6" t="n">
        <v>285</v>
      </c>
      <c r="I45" s="5" t="n"/>
      <c r="J45" s="5" t="inlineStr"/>
    </row>
    <row r="46">
      <c r="A46" s="4" t="n">
        <v>45107</v>
      </c>
      <c r="B46" s="5" t="inlineStr">
        <is>
          <t>2023-07-22</t>
        </is>
      </c>
      <c r="C46" s="5" t="inlineStr">
        <is>
          <t>VICKI ZERTOPOULOS</t>
        </is>
      </c>
      <c r="D46" s="5" t="inlineStr">
        <is>
          <t>Standard</t>
        </is>
      </c>
      <c r="E46" s="5" t="inlineStr">
        <is>
          <t>OTTER.AI MOUNTAIN VIEW</t>
        </is>
      </c>
      <c r="F46" s="6" t="n">
        <v>99.98999999999999</v>
      </c>
      <c r="G46" s="5" t="inlineStr">
        <is>
          <t>UNITED STATES DOLLAR</t>
        </is>
      </c>
      <c r="H46" s="6" t="n">
        <v>155.78</v>
      </c>
      <c r="I46" s="5" t="n"/>
      <c r="J46" s="5" t="inlineStr">
        <is>
          <t>AUD 155.78 includes conversion commission of AUD 4.54</t>
        </is>
      </c>
    </row>
    <row r="47">
      <c r="A47" s="4" t="n">
        <v>45107</v>
      </c>
      <c r="B47" s="5" t="inlineStr">
        <is>
          <t>2023-07-22</t>
        </is>
      </c>
      <c r="C47" s="5" t="inlineStr">
        <is>
          <t>VICKI ZERTOPOULOS</t>
        </is>
      </c>
      <c r="D47" s="5" t="inlineStr">
        <is>
          <t>Standard</t>
        </is>
      </c>
      <c r="E47" s="5" t="inlineStr">
        <is>
          <t>DAVID JONES ONLINE - GP ARTARMON</t>
        </is>
      </c>
      <c r="F47" s="5" t="n"/>
      <c r="G47" s="5" t="inlineStr"/>
      <c r="H47" s="6" t="n">
        <v>2969.76</v>
      </c>
      <c r="I47" s="5" t="n"/>
      <c r="J47" s="5" t="inlineStr"/>
    </row>
    <row r="48">
      <c r="A48" s="4" t="n">
        <v>45107</v>
      </c>
      <c r="B48" s="5" t="inlineStr">
        <is>
          <t>2023-07-22</t>
        </is>
      </c>
      <c r="C48" s="5" t="inlineStr">
        <is>
          <t>VICKI ZERTOPOULOS</t>
        </is>
      </c>
      <c r="D48" s="5" t="inlineStr">
        <is>
          <t>Standard</t>
        </is>
      </c>
      <c r="E48" s="5" t="inlineStr">
        <is>
          <t>EASTERN MOUNTAIN CENTRE DEEPDENE</t>
        </is>
      </c>
      <c r="F48" s="5" t="n"/>
      <c r="G48" s="5" t="inlineStr"/>
      <c r="H48" s="6" t="n">
        <v>969.9</v>
      </c>
      <c r="I48" s="5" t="n"/>
      <c r="J48" s="5" t="inlineStr"/>
    </row>
    <row r="49">
      <c r="A49" s="4" t="n">
        <v>45107</v>
      </c>
      <c r="B49" s="5" t="inlineStr">
        <is>
          <t>2023-07-22</t>
        </is>
      </c>
      <c r="C49" s="5" t="inlineStr">
        <is>
          <t>VICKI ZERTOPOULOS</t>
        </is>
      </c>
      <c r="D49" s="5" t="inlineStr">
        <is>
          <t>Standard</t>
        </is>
      </c>
      <c r="E49" s="5" t="inlineStr">
        <is>
          <t>HAWTHORNE CHEMMART PHAR HAWTHORN</t>
        </is>
      </c>
      <c r="F49" s="5" t="n"/>
      <c r="G49" s="5" t="inlineStr"/>
      <c r="H49" s="6" t="n">
        <v>116.92</v>
      </c>
      <c r="I49" s="5" t="n"/>
      <c r="J49" s="5" t="inlineStr"/>
    </row>
    <row r="50">
      <c r="A50" s="4" t="n">
        <v>45107</v>
      </c>
      <c r="B50" s="5" t="inlineStr">
        <is>
          <t>2023-07-22</t>
        </is>
      </c>
      <c r="C50" s="5" t="inlineStr">
        <is>
          <t>GEORGE DOUFAS</t>
        </is>
      </c>
      <c r="D50" s="5" t="inlineStr">
        <is>
          <t>Standard</t>
        </is>
      </c>
      <c r="E50" s="5" t="inlineStr">
        <is>
          <t>POSTALL HALL MELBOURNE</t>
        </is>
      </c>
      <c r="F50" s="5" t="n"/>
      <c r="G50" s="5" t="inlineStr"/>
      <c r="H50" s="6" t="n">
        <v>14.5</v>
      </c>
      <c r="I50" s="5" t="n"/>
      <c r="J50" s="5" t="inlineStr"/>
    </row>
    <row r="51">
      <c r="A51" s="4" t="n">
        <v>45107</v>
      </c>
      <c r="B51" s="5" t="inlineStr">
        <is>
          <t>2023-07-22</t>
        </is>
      </c>
      <c r="C51" s="5" t="inlineStr">
        <is>
          <t>GEORGE DOUFAS</t>
        </is>
      </c>
      <c r="D51" s="5" t="inlineStr">
        <is>
          <t>Standard</t>
        </is>
      </c>
      <c r="E51" s="5" t="inlineStr">
        <is>
          <t>DI PALMA'S RESTAURANT KEW EAST</t>
        </is>
      </c>
      <c r="F51" s="5" t="n"/>
      <c r="G51" s="5" t="inlineStr"/>
      <c r="H51" s="6" t="n">
        <v>104.7</v>
      </c>
      <c r="I51" s="5" t="n"/>
      <c r="J51" s="5" t="inlineStr"/>
    </row>
    <row r="52">
      <c r="A52" s="4" t="n">
        <v>45108</v>
      </c>
      <c r="B52" s="5" t="inlineStr">
        <is>
          <t>2023-07-22</t>
        </is>
      </c>
      <c r="C52" s="5" t="inlineStr">
        <is>
          <t>VICKI ZERTOPOULOS</t>
        </is>
      </c>
      <c r="D52" s="5" t="inlineStr">
        <is>
          <t>Standard</t>
        </is>
      </c>
      <c r="E52" s="5" t="inlineStr">
        <is>
          <t>PAYPAL *ISAGENIX AU 4806365670</t>
        </is>
      </c>
      <c r="F52" s="5" t="n"/>
      <c r="G52" s="5" t="inlineStr"/>
      <c r="H52" s="6" t="n">
        <v>242.95</v>
      </c>
      <c r="I52" s="5" t="n"/>
      <c r="J52" s="5" t="inlineStr"/>
    </row>
    <row r="53">
      <c r="A53" s="4" t="n">
        <v>45108</v>
      </c>
      <c r="B53" s="5" t="inlineStr">
        <is>
          <t>2023-07-22</t>
        </is>
      </c>
      <c r="C53" s="5" t="inlineStr">
        <is>
          <t>VICKI ZERTOPOULOS</t>
        </is>
      </c>
      <c r="D53" s="5" t="inlineStr">
        <is>
          <t>Standard</t>
        </is>
      </c>
      <c r="E53" s="5" t="inlineStr">
        <is>
          <t>COLES EXPRESS EUROA 688 EUROA</t>
        </is>
      </c>
      <c r="F53" s="5" t="n"/>
      <c r="G53" s="5" t="inlineStr"/>
      <c r="H53" s="6" t="n">
        <v>11.9</v>
      </c>
      <c r="I53" s="5" t="n"/>
      <c r="J53" s="5" t="inlineStr"/>
    </row>
    <row r="54">
      <c r="A54" s="4" t="n">
        <v>45108</v>
      </c>
      <c r="B54" s="5" t="inlineStr">
        <is>
          <t>2023-07-22</t>
        </is>
      </c>
      <c r="C54" s="5" t="inlineStr">
        <is>
          <t>VICKI ZERTOPOULOS</t>
        </is>
      </c>
      <c r="D54" s="5" t="inlineStr">
        <is>
          <t>Standard</t>
        </is>
      </c>
      <c r="E54" s="5" t="inlineStr">
        <is>
          <t>PAYPAL *SCRIBD.COM 4152336230</t>
        </is>
      </c>
      <c r="F54" s="6" t="n">
        <v>8.99</v>
      </c>
      <c r="G54" s="5" t="inlineStr">
        <is>
          <t>UNITED STATES DOLLAR</t>
        </is>
      </c>
      <c r="H54" s="6" t="n">
        <v>14</v>
      </c>
      <c r="I54" s="5" t="n"/>
      <c r="J54" s="5" t="inlineStr">
        <is>
          <t>AUD 14.00 includes conversion commission of AUD .41</t>
        </is>
      </c>
    </row>
    <row r="55">
      <c r="A55" s="4" t="n">
        <v>45109</v>
      </c>
      <c r="B55" s="5" t="inlineStr">
        <is>
          <t>2023-07-22</t>
        </is>
      </c>
      <c r="C55" s="5" t="inlineStr">
        <is>
          <t>VICKI ZERTOPOULOS</t>
        </is>
      </c>
      <c r="D55" s="5" t="inlineStr">
        <is>
          <t>Standard</t>
        </is>
      </c>
      <c r="E55" s="5" t="inlineStr">
        <is>
          <t>ASTRA BAR &amp; RESTAURANT FALLS CREEK</t>
        </is>
      </c>
      <c r="F55" s="5" t="n"/>
      <c r="G55" s="5" t="inlineStr"/>
      <c r="H55" s="6" t="n">
        <v>51.25</v>
      </c>
      <c r="I55" s="5" t="n"/>
      <c r="J55" s="5" t="inlineStr"/>
    </row>
    <row r="56">
      <c r="A56" s="4" t="n">
        <v>45110</v>
      </c>
      <c r="B56" s="5" t="inlineStr">
        <is>
          <t>2023-07-22</t>
        </is>
      </c>
      <c r="C56" s="5" t="inlineStr">
        <is>
          <t>VICKI ZERTOPOULOS</t>
        </is>
      </c>
      <c r="D56" s="5" t="inlineStr">
        <is>
          <t>Standard</t>
        </is>
      </c>
      <c r="E56" s="5" t="inlineStr">
        <is>
          <t>UPWORK*-598122322REF DUBLIN</t>
        </is>
      </c>
      <c r="F56" s="5" t="n"/>
      <c r="G56" s="5" t="inlineStr"/>
      <c r="H56" s="6" t="n">
        <v>151.84</v>
      </c>
      <c r="I56" s="5" t="n"/>
      <c r="J56" s="5" t="inlineStr"/>
    </row>
    <row r="57">
      <c r="A57" s="4" t="n">
        <v>45110</v>
      </c>
      <c r="B57" s="5" t="inlineStr">
        <is>
          <t>2023-07-22</t>
        </is>
      </c>
      <c r="C57" s="5" t="inlineStr">
        <is>
          <t>VICKI ZERTOPOULOS</t>
        </is>
      </c>
      <c r="D57" s="5" t="inlineStr">
        <is>
          <t>Standard</t>
        </is>
      </c>
      <c r="E57" s="5" t="inlineStr">
        <is>
          <t>ST FALLS RESORT FALLS CREEK</t>
        </is>
      </c>
      <c r="F57" s="5" t="n"/>
      <c r="G57" s="5" t="inlineStr"/>
      <c r="H57" s="6" t="n">
        <v>25</v>
      </c>
      <c r="I57" s="5" t="n"/>
      <c r="J57" s="5" t="inlineStr"/>
    </row>
    <row r="58">
      <c r="A58" s="4" t="n">
        <v>45110</v>
      </c>
      <c r="B58" s="5" t="inlineStr">
        <is>
          <t>2023-07-22</t>
        </is>
      </c>
      <c r="C58" s="5" t="inlineStr">
        <is>
          <t>VICKI ZERTOPOULOS</t>
        </is>
      </c>
      <c r="D58" s="5" t="inlineStr">
        <is>
          <t>Standard</t>
        </is>
      </c>
      <c r="E58" s="5" t="inlineStr">
        <is>
          <t>NEWS LIMITED SURRY HILL SURRY HILLS</t>
        </is>
      </c>
      <c r="F58" s="5" t="n"/>
      <c r="G58" s="5" t="inlineStr"/>
      <c r="H58" s="6" t="n">
        <v>28</v>
      </c>
      <c r="I58" s="5" t="n"/>
      <c r="J58" s="5" t="inlineStr"/>
    </row>
    <row r="59">
      <c r="A59" s="4" t="n">
        <v>45111</v>
      </c>
      <c r="B59" s="5" t="inlineStr">
        <is>
          <t>2023-07-22</t>
        </is>
      </c>
      <c r="C59" s="5" t="inlineStr">
        <is>
          <t>VICKI ZERTOPOULOS</t>
        </is>
      </c>
      <c r="D59" s="5" t="inlineStr">
        <is>
          <t>Standard</t>
        </is>
      </c>
      <c r="E59" s="5" t="inlineStr">
        <is>
          <t>CLOUD9FC.COM.AU* ME&amp;U FALLS CREEK</t>
        </is>
      </c>
      <c r="F59" s="5" t="n"/>
      <c r="G59" s="5" t="inlineStr"/>
      <c r="H59" s="6" t="n">
        <v>16.32</v>
      </c>
      <c r="I59" s="5" t="n"/>
      <c r="J59" s="5" t="inlineStr"/>
    </row>
    <row r="60">
      <c r="A60" s="4" t="n">
        <v>45111</v>
      </c>
      <c r="B60" s="5" t="inlineStr">
        <is>
          <t>2023-07-22</t>
        </is>
      </c>
      <c r="C60" s="5" t="inlineStr">
        <is>
          <t>VICKI ZERTOPOULOS</t>
        </is>
      </c>
      <c r="D60" s="5" t="inlineStr">
        <is>
          <t>Standard</t>
        </is>
      </c>
      <c r="E60" s="5" t="inlineStr">
        <is>
          <t>CLOUD 9 FALLS CREEK</t>
        </is>
      </c>
      <c r="F60" s="5" t="n"/>
      <c r="G60" s="5" t="inlineStr"/>
      <c r="H60" s="6" t="n">
        <v>23.57</v>
      </c>
      <c r="I60" s="5" t="n"/>
      <c r="J60" s="5" t="inlineStr"/>
    </row>
    <row r="61">
      <c r="A61" s="4" t="n">
        <v>45112</v>
      </c>
      <c r="B61" s="5" t="inlineStr">
        <is>
          <t>2023-07-22</t>
        </is>
      </c>
      <c r="C61" s="5" t="inlineStr">
        <is>
          <t>VICKI ZERTOPOULOS</t>
        </is>
      </c>
      <c r="D61" s="5" t="inlineStr">
        <is>
          <t>Standard</t>
        </is>
      </c>
      <c r="E61" s="5" t="inlineStr">
        <is>
          <t>SNONUTS 65490 FALLS CREEK</t>
        </is>
      </c>
      <c r="F61" s="5" t="n"/>
      <c r="G61" s="5" t="inlineStr"/>
      <c r="H61" s="6" t="n">
        <v>8.93</v>
      </c>
      <c r="I61" s="5" t="n"/>
      <c r="J61" s="5" t="inlineStr"/>
    </row>
    <row r="62">
      <c r="A62" s="4" t="n">
        <v>45114</v>
      </c>
      <c r="B62" s="5" t="inlineStr">
        <is>
          <t>2023-07-22</t>
        </is>
      </c>
      <c r="C62" s="5" t="inlineStr">
        <is>
          <t>VICKI ZERTOPOULOS</t>
        </is>
      </c>
      <c r="D62" s="5" t="inlineStr">
        <is>
          <t>Standard</t>
        </is>
      </c>
      <c r="E62" s="5" t="inlineStr">
        <is>
          <t>WOODFROG PTY LTD 69671 ST KILDA</t>
        </is>
      </c>
      <c r="F62" s="5" t="n"/>
      <c r="G62" s="5" t="inlineStr"/>
      <c r="H62" s="6" t="n">
        <v>14.66</v>
      </c>
      <c r="I62" s="5" t="n"/>
      <c r="J62" s="5" t="inlineStr"/>
    </row>
    <row r="63">
      <c r="A63" s="4" t="n">
        <v>45114</v>
      </c>
      <c r="B63" s="5" t="inlineStr">
        <is>
          <t>2023-07-22</t>
        </is>
      </c>
      <c r="C63" s="5" t="inlineStr">
        <is>
          <t>VICKI ZERTOPOULOS</t>
        </is>
      </c>
      <c r="D63" s="5" t="inlineStr">
        <is>
          <t>Standard</t>
        </is>
      </c>
      <c r="E63" s="5" t="inlineStr">
        <is>
          <t>CANNINGS FREE RANGE BUT KEW</t>
        </is>
      </c>
      <c r="F63" s="5" t="n"/>
      <c r="G63" s="5" t="inlineStr"/>
      <c r="H63" s="6" t="n">
        <v>62.07</v>
      </c>
      <c r="I63" s="5" t="n"/>
      <c r="J63" s="5" t="inlineStr"/>
    </row>
    <row r="64">
      <c r="A64" s="4" t="n">
        <v>45115</v>
      </c>
      <c r="B64" s="5" t="inlineStr">
        <is>
          <t>2023-07-22</t>
        </is>
      </c>
      <c r="C64" s="5" t="inlineStr">
        <is>
          <t>VICKI ZERTOPOULOS</t>
        </is>
      </c>
      <c r="D64" s="5" t="inlineStr">
        <is>
          <t>Standard</t>
        </is>
      </c>
      <c r="E64" s="5" t="inlineStr">
        <is>
          <t>MSFT *&lt;E0300O63U9&gt; MSBILL.INFO</t>
        </is>
      </c>
      <c r="F64" s="5" t="n"/>
      <c r="G64" s="5" t="inlineStr"/>
      <c r="H64" s="6" t="n">
        <v>12.1</v>
      </c>
      <c r="I64" s="5" t="n"/>
      <c r="J64" s="5" t="inlineStr"/>
    </row>
    <row r="65">
      <c r="A65" s="4" t="n">
        <v>45117</v>
      </c>
      <c r="B65" s="5" t="inlineStr">
        <is>
          <t>2023-07-22</t>
        </is>
      </c>
      <c r="C65" s="5" t="inlineStr">
        <is>
          <t>VICKI ZERTOPOULOS</t>
        </is>
      </c>
      <c r="D65" s="5" t="inlineStr">
        <is>
          <t>Standard</t>
        </is>
      </c>
      <c r="E65" s="5" t="inlineStr">
        <is>
          <t>THE SAGE METHOD BUSHNELL</t>
        </is>
      </c>
      <c r="F65" s="6" t="n">
        <v>19</v>
      </c>
      <c r="G65" s="5" t="inlineStr">
        <is>
          <t>UNITED STATES DOLLAR</t>
        </is>
      </c>
      <c r="H65" s="6" t="n">
        <v>29.57</v>
      </c>
      <c r="I65" s="5" t="n"/>
      <c r="J65" s="5" t="inlineStr">
        <is>
          <t>AUD 29.57 includes conversion commission of AUD .86</t>
        </is>
      </c>
    </row>
    <row r="66">
      <c r="A66" s="4" t="n">
        <v>45117</v>
      </c>
      <c r="B66" s="5" t="inlineStr">
        <is>
          <t>2023-07-22</t>
        </is>
      </c>
      <c r="C66" s="5" t="inlineStr">
        <is>
          <t>VICKI ZERTOPOULOS</t>
        </is>
      </c>
      <c r="D66" s="5" t="inlineStr">
        <is>
          <t>Standard</t>
        </is>
      </c>
      <c r="E66" s="5" t="inlineStr">
        <is>
          <t>UPWORK*-600174850REF DUBLIN</t>
        </is>
      </c>
      <c r="F66" s="5" t="n"/>
      <c r="G66" s="5" t="inlineStr"/>
      <c r="H66" s="6" t="n">
        <v>125.15</v>
      </c>
      <c r="I66" s="5" t="n"/>
      <c r="J66" s="5" t="inlineStr"/>
    </row>
    <row r="67">
      <c r="A67" s="4" t="n">
        <v>45118</v>
      </c>
      <c r="B67" s="5" t="inlineStr">
        <is>
          <t>2023-07-22</t>
        </is>
      </c>
      <c r="C67" s="5" t="inlineStr">
        <is>
          <t>VICKI ZERTOPOULOS</t>
        </is>
      </c>
      <c r="D67" s="5" t="inlineStr">
        <is>
          <t>Standard</t>
        </is>
      </c>
      <c r="E67" s="5" t="inlineStr">
        <is>
          <t>PAYPAL *SHOPIFYCOMM 6132412828</t>
        </is>
      </c>
      <c r="F67" s="6" t="n">
        <v>73.97</v>
      </c>
      <c r="G67" s="5" t="inlineStr">
        <is>
          <t>UNITED STATES DOLLAR</t>
        </is>
      </c>
      <c r="H67" s="6" t="n">
        <v>115.07</v>
      </c>
      <c r="I67" s="5" t="n"/>
      <c r="J67" s="5" t="inlineStr">
        <is>
          <t>AUD 115.07 includes conversion commission of AUD 3.35</t>
        </is>
      </c>
    </row>
    <row r="68">
      <c r="A68" s="4" t="n">
        <v>45119</v>
      </c>
      <c r="B68" s="5" t="inlineStr">
        <is>
          <t>2023-07-22</t>
        </is>
      </c>
      <c r="C68" s="5" t="inlineStr">
        <is>
          <t>VICKI ZERTOPOULOS</t>
        </is>
      </c>
      <c r="D68" s="5" t="inlineStr">
        <is>
          <t>Standard</t>
        </is>
      </c>
      <c r="E68" s="5" t="inlineStr">
        <is>
          <t>COLES BALWYN NORTH 565 BALWYN NORTH</t>
        </is>
      </c>
      <c r="F68" s="5" t="n"/>
      <c r="G68" s="5" t="inlineStr"/>
      <c r="H68" s="6" t="n">
        <v>267.28</v>
      </c>
      <c r="I68" s="5" t="n"/>
      <c r="J68" s="5" t="inlineStr"/>
    </row>
    <row r="69">
      <c r="A69" s="4" t="n">
        <v>45120</v>
      </c>
      <c r="B69" s="5" t="inlineStr">
        <is>
          <t>2023-07-22</t>
        </is>
      </c>
      <c r="C69" s="5" t="inlineStr">
        <is>
          <t>VICKI ZERTOPOULOS</t>
        </is>
      </c>
      <c r="D69" s="5" t="inlineStr">
        <is>
          <t>Standard</t>
        </is>
      </c>
      <c r="E69" s="5" t="inlineStr">
        <is>
          <t>SUPERFAST DIET TRADING BROOKVALE</t>
        </is>
      </c>
      <c r="F69" s="5" t="n"/>
      <c r="G69" s="5" t="inlineStr"/>
      <c r="H69" s="6" t="n">
        <v>21.6</v>
      </c>
      <c r="I69" s="5" t="n"/>
      <c r="J69" s="5" t="inlineStr"/>
    </row>
    <row r="70">
      <c r="A70" s="4" t="n">
        <v>45120</v>
      </c>
      <c r="B70" s="5" t="inlineStr">
        <is>
          <t>2023-07-22</t>
        </is>
      </c>
      <c r="C70" s="5" t="inlineStr">
        <is>
          <t>VICKI ZERTOPOULOS</t>
        </is>
      </c>
      <c r="D70" s="5" t="inlineStr">
        <is>
          <t>Standard</t>
        </is>
      </c>
      <c r="E70" s="5" t="inlineStr">
        <is>
          <t>CENTR CREMORNE</t>
        </is>
      </c>
      <c r="F70" s="5" t="n"/>
      <c r="G70" s="5" t="inlineStr"/>
      <c r="H70" s="6" t="n">
        <v>119.99</v>
      </c>
      <c r="I70" s="5" t="n"/>
      <c r="J70" s="5" t="inlineStr"/>
    </row>
    <row r="71">
      <c r="A71" s="4" t="n">
        <v>45120</v>
      </c>
      <c r="B71" s="5" t="inlineStr">
        <is>
          <t>2023-07-22</t>
        </is>
      </c>
      <c r="C71" s="5" t="inlineStr">
        <is>
          <t>VICKI ZERTOPOULOS</t>
        </is>
      </c>
      <c r="D71" s="5" t="inlineStr">
        <is>
          <t>Standard</t>
        </is>
      </c>
      <c r="E71" s="5" t="inlineStr">
        <is>
          <t>GRILL'D HAWTHORN HAWTHORN</t>
        </is>
      </c>
      <c r="F71" s="5" t="n"/>
      <c r="G71" s="5" t="inlineStr"/>
      <c r="H71" s="6" t="n">
        <v>40.9</v>
      </c>
      <c r="I71" s="5" t="n"/>
      <c r="J71" s="5" t="inlineStr"/>
    </row>
    <row r="72">
      <c r="A72" s="4" t="n">
        <v>45121</v>
      </c>
      <c r="B72" s="5" t="inlineStr">
        <is>
          <t>2023-07-22</t>
        </is>
      </c>
      <c r="C72" s="5" t="inlineStr">
        <is>
          <t>VICKI ZERTOPOULOS</t>
        </is>
      </c>
      <c r="D72" s="5" t="inlineStr">
        <is>
          <t>Standard</t>
        </is>
      </c>
      <c r="E72" s="5" t="inlineStr">
        <is>
          <t>THE FOOD STORE KEW Kew</t>
        </is>
      </c>
      <c r="F72" s="5" t="n"/>
      <c r="G72" s="5" t="inlineStr"/>
      <c r="H72" s="6" t="n">
        <v>66</v>
      </c>
      <c r="I72" s="5" t="n"/>
      <c r="J72" s="5" t="inlineStr"/>
    </row>
    <row r="73">
      <c r="A73" s="4" t="n">
        <v>45123</v>
      </c>
      <c r="B73" s="5" t="inlineStr">
        <is>
          <t>2023-07-22</t>
        </is>
      </c>
      <c r="C73" s="5" t="inlineStr">
        <is>
          <t>VICKI ZERTOPOULOS</t>
        </is>
      </c>
      <c r="D73" s="5" t="inlineStr">
        <is>
          <t>Standard</t>
        </is>
      </c>
      <c r="E73" s="5" t="inlineStr">
        <is>
          <t>CLICKFUNNELS.COM EAGLE</t>
        </is>
      </c>
      <c r="F73" s="6" t="n">
        <v>97</v>
      </c>
      <c r="G73" s="5" t="inlineStr">
        <is>
          <t>UNITED STATES DOLLAR</t>
        </is>
      </c>
      <c r="H73" s="6" t="n">
        <v>146.04</v>
      </c>
      <c r="I73" s="5" t="n"/>
      <c r="J73" s="5" t="inlineStr">
        <is>
          <t>AUD 146.04 includes conversion commission of AUD 4.25</t>
        </is>
      </c>
    </row>
    <row r="74">
      <c r="A74" s="4" t="n">
        <v>45124</v>
      </c>
      <c r="B74" s="5" t="inlineStr">
        <is>
          <t>2023-07-22</t>
        </is>
      </c>
      <c r="C74" s="5" t="inlineStr">
        <is>
          <t>VICKI ZERTOPOULOS</t>
        </is>
      </c>
      <c r="D74" s="5" t="inlineStr">
        <is>
          <t>Standard</t>
        </is>
      </c>
      <c r="E74" s="5" t="inlineStr">
        <is>
          <t>MYOSYNERGY Deepdene</t>
        </is>
      </c>
      <c r="F74" s="5" t="n"/>
      <c r="G74" s="5" t="inlineStr"/>
      <c r="H74" s="6" t="n">
        <v>100</v>
      </c>
      <c r="I74" s="5" t="n"/>
      <c r="J74" s="5" t="inlineStr"/>
    </row>
    <row r="75">
      <c r="A75" s="4" t="n">
        <v>45124</v>
      </c>
      <c r="B75" s="5" t="inlineStr">
        <is>
          <t>2023-07-22</t>
        </is>
      </c>
      <c r="C75" s="5" t="inlineStr">
        <is>
          <t>VICKI ZERTOPOULOS</t>
        </is>
      </c>
      <c r="D75" s="5" t="inlineStr">
        <is>
          <t>Standard</t>
        </is>
      </c>
      <c r="E75" s="5" t="inlineStr">
        <is>
          <t>WOODFROG PTY LTD 69671 ST KILDA</t>
        </is>
      </c>
      <c r="F75" s="5" t="n"/>
      <c r="G75" s="5" t="inlineStr"/>
      <c r="H75" s="6" t="n">
        <v>5.64</v>
      </c>
      <c r="I75" s="5" t="n"/>
      <c r="J75" s="5" t="inlineStr"/>
    </row>
    <row r="76">
      <c r="A76" s="4" t="n">
        <v>45124</v>
      </c>
      <c r="B76" s="5" t="inlineStr">
        <is>
          <t>2023-07-22</t>
        </is>
      </c>
      <c r="C76" s="5" t="inlineStr">
        <is>
          <t>VICKI ZERTOPOULOS</t>
        </is>
      </c>
      <c r="D76" s="5" t="inlineStr">
        <is>
          <t>Standard</t>
        </is>
      </c>
      <c r="E76" s="5" t="inlineStr">
        <is>
          <t>UPWORK*-602253814REF DUBLIN</t>
        </is>
      </c>
      <c r="F76" s="5" t="n"/>
      <c r="G76" s="5" t="inlineStr"/>
      <c r="H76" s="6" t="n">
        <v>139.77</v>
      </c>
      <c r="I76" s="5" t="n"/>
      <c r="J76" s="5" t="inlineStr"/>
    </row>
    <row r="77">
      <c r="A77" s="4" t="n">
        <v>45124</v>
      </c>
      <c r="B77" s="5" t="inlineStr">
        <is>
          <t>2023-07-22</t>
        </is>
      </c>
      <c r="C77" s="5" t="inlineStr">
        <is>
          <t>VICKI ZERTOPOULOS</t>
        </is>
      </c>
      <c r="D77" s="5" t="inlineStr">
        <is>
          <t>Standard</t>
        </is>
      </c>
      <c r="E77" s="5" t="inlineStr">
        <is>
          <t>CANNINGS FREE RANGE BUT KEW</t>
        </is>
      </c>
      <c r="F77" s="5" t="n"/>
      <c r="G77" s="5" t="inlineStr"/>
      <c r="H77" s="6" t="n">
        <v>131.71</v>
      </c>
      <c r="I77" s="5" t="n"/>
      <c r="J77" s="5" t="inlineStr"/>
    </row>
    <row r="78">
      <c r="A78" s="4" t="n">
        <v>45125</v>
      </c>
      <c r="B78" s="5" t="inlineStr">
        <is>
          <t>2023-07-22</t>
        </is>
      </c>
      <c r="C78" s="5" t="inlineStr">
        <is>
          <t>VICKI ZERTOPOULOS</t>
        </is>
      </c>
      <c r="D78" s="5" t="inlineStr">
        <is>
          <t>Standard</t>
        </is>
      </c>
      <c r="E78" s="5" t="inlineStr">
        <is>
          <t>COLES BALWYN NORTH 565 BALWYN NORTH</t>
        </is>
      </c>
      <c r="F78" s="5" t="n"/>
      <c r="G78" s="5" t="inlineStr"/>
      <c r="H78" s="6" t="n">
        <v>81.18000000000001</v>
      </c>
      <c r="I78" s="5" t="n"/>
      <c r="J78" s="5" t="inlineStr"/>
    </row>
    <row r="79">
      <c r="A79" s="4" t="n">
        <v>45126</v>
      </c>
      <c r="B79" s="5" t="inlineStr">
        <is>
          <t>2023-07-22</t>
        </is>
      </c>
      <c r="C79" s="5" t="inlineStr">
        <is>
          <t>VICKI ZERTOPOULOS</t>
        </is>
      </c>
      <c r="D79" s="5" t="inlineStr">
        <is>
          <t>Standard</t>
        </is>
      </c>
      <c r="E79" s="5" t="inlineStr">
        <is>
          <t>EAT SACRED Hawthorn</t>
        </is>
      </c>
      <c r="F79" s="5" t="n"/>
      <c r="G79" s="5" t="inlineStr"/>
      <c r="H79" s="6" t="n">
        <v>42</v>
      </c>
      <c r="I79" s="5" t="n"/>
      <c r="J79" s="5" t="inlineStr"/>
    </row>
    <row r="80">
      <c r="A80" s="4" t="n">
        <v>45126</v>
      </c>
      <c r="B80" s="5" t="inlineStr">
        <is>
          <t>2023-07-22</t>
        </is>
      </c>
      <c r="C80" s="5" t="inlineStr">
        <is>
          <t>VICKI ZERTOPOULOS</t>
        </is>
      </c>
      <c r="D80" s="5" t="inlineStr">
        <is>
          <t>Standard</t>
        </is>
      </c>
      <c r="E80" s="5" t="inlineStr">
        <is>
          <t>LLL_AU_50063 MELBOURNE</t>
        </is>
      </c>
      <c r="F80" s="5" t="n"/>
      <c r="G80" s="5" t="inlineStr"/>
      <c r="H80" s="6" t="n">
        <v>178</v>
      </c>
      <c r="I80" s="5" t="n"/>
      <c r="J80" s="5" t="inlineStr"/>
    </row>
    <row r="81">
      <c r="A81" s="4" t="n">
        <v>45127</v>
      </c>
      <c r="B81" s="5" t="inlineStr">
        <is>
          <t>2023-07-22</t>
        </is>
      </c>
      <c r="C81" s="5" t="inlineStr">
        <is>
          <t>VICKI ZERTOPOULOS</t>
        </is>
      </c>
      <c r="D81" s="5" t="inlineStr">
        <is>
          <t>Standard</t>
        </is>
      </c>
      <c r="E81" s="5" t="inlineStr">
        <is>
          <t>XERO AU INV-29350091 HAWTHORN</t>
        </is>
      </c>
      <c r="F81" s="5" t="n"/>
      <c r="G81" s="5" t="inlineStr"/>
      <c r="H81" s="6" t="n">
        <v>87</v>
      </c>
      <c r="I81" s="5" t="n"/>
      <c r="J81" s="5" t="inlineStr"/>
    </row>
    <row r="82">
      <c r="A82" s="4" t="n">
        <v>45127</v>
      </c>
      <c r="B82" s="5" t="inlineStr">
        <is>
          <t>2023-07-22</t>
        </is>
      </c>
      <c r="C82" s="5" t="inlineStr">
        <is>
          <t>VICKI ZERTOPOULOS</t>
        </is>
      </c>
      <c r="D82" s="5" t="inlineStr">
        <is>
          <t>Standard</t>
        </is>
      </c>
      <c r="E82" s="5" t="inlineStr">
        <is>
          <t>AP BALWYN NORTH LPO BALWYN NORTH</t>
        </is>
      </c>
      <c r="F82" s="5" t="n"/>
      <c r="G82" s="5" t="inlineStr"/>
      <c r="H82" s="6" t="n">
        <v>100</v>
      </c>
      <c r="I82" s="5" t="n"/>
      <c r="J82" s="5" t="inlineStr"/>
    </row>
    <row r="83">
      <c r="A83" s="4" t="n">
        <v>45129</v>
      </c>
      <c r="B83" s="5" t="inlineStr">
        <is>
          <t>2023-07-22</t>
        </is>
      </c>
      <c r="C83" s="5" t="inlineStr">
        <is>
          <t>(account)</t>
        </is>
      </c>
      <c r="D83" s="5" t="inlineStr">
        <is>
          <t>Account Charge</t>
        </is>
      </c>
      <c r="E83" s="5" t="inlineStr">
        <is>
          <t>INTEREST CHARGE</t>
        </is>
      </c>
      <c r="F83" s="5" t="n"/>
      <c r="G83" s="5" t="inlineStr"/>
      <c r="H83" s="6" t="n">
        <v>44.3</v>
      </c>
      <c r="I83" s="5" t="n"/>
      <c r="J83" s="5" t="inlineStr"/>
    </row>
    <row r="84">
      <c r="A84" s="7" t="inlineStr">
        <is>
          <t>TOTALS</t>
        </is>
      </c>
      <c r="B84" s="8" t="n"/>
      <c r="C84" s="8" t="n"/>
      <c r="D84" s="8" t="n"/>
      <c r="E84" s="8" t="n"/>
      <c r="F84" s="8" t="n"/>
      <c r="G84" s="8" t="n"/>
      <c r="H84" s="9">
        <f>SUM(H5:H83)</f>
        <v/>
      </c>
      <c r="I84" s="9">
        <f>SUM(I5:I83)</f>
        <v/>
      </c>
      <c r="J84" s="8" t="n"/>
    </row>
    <row r="85">
      <c r="A85" s="10" t="inlineStr">
        <is>
          <t>NET (Debits − Credits)</t>
        </is>
      </c>
      <c r="B85" s="11" t="n"/>
      <c r="C85" s="11" t="n"/>
      <c r="D85" s="11" t="n"/>
      <c r="E85" s="11" t="n"/>
      <c r="F85" s="11" t="n"/>
      <c r="G85" s="11" t="n"/>
      <c r="H85" s="12">
        <f>H84-I84</f>
        <v/>
      </c>
      <c r="I85" s="11" t="n"/>
      <c r="J85" s="11" t="n"/>
    </row>
  </sheetData>
  <autoFilter ref="A4:J83"/>
  <mergeCells count="4">
    <mergeCell ref="A84:G84"/>
    <mergeCell ref="A1:J1"/>
    <mergeCell ref="A85:G8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3" t="inlineStr">
        <is>
          <t>Reconciliation vs Statement Totals</t>
        </is>
      </c>
    </row>
    <row r="2">
      <c r="A2" s="14" t="inlineStr">
        <is>
          <t>Section</t>
        </is>
      </c>
      <c r="B2" s="14" t="inlineStr">
        <is>
          <t>Extracted (AUD)</t>
        </is>
      </c>
      <c r="C2" s="14" t="inlineStr">
        <is>
          <t>Statement (AUD)</t>
        </is>
      </c>
      <c r="D2" s="14" t="inlineStr">
        <is>
          <t>Match</t>
        </is>
      </c>
    </row>
    <row r="3">
      <c r="A3" t="inlineStr">
        <is>
          <t>Payments received (credit)</t>
        </is>
      </c>
      <c r="B3" s="15" t="n">
        <v>26034.23</v>
      </c>
      <c r="C3" s="15" t="n">
        <v>26034.23</v>
      </c>
      <c r="D3" t="inlineStr">
        <is>
          <t>YES</t>
        </is>
      </c>
    </row>
    <row r="4">
      <c r="A4" t="inlineStr">
        <is>
          <t>Standard — VICKI ZERTOPOULOS</t>
        </is>
      </c>
      <c r="B4" s="15" t="n">
        <v>13282.53</v>
      </c>
      <c r="C4" s="15" t="n">
        <v>13282.53</v>
      </c>
      <c r="D4" t="inlineStr">
        <is>
          <t>YES</t>
        </is>
      </c>
    </row>
    <row r="5">
      <c r="A5" t="inlineStr">
        <is>
          <t>Standard — GEORGE DOUFAS</t>
        </is>
      </c>
      <c r="B5" s="15" t="n">
        <v>255.18</v>
      </c>
      <c r="C5" s="15" t="n">
        <v>255.18</v>
      </c>
      <c r="D5" t="inlineStr">
        <is>
          <t>YES</t>
        </is>
      </c>
    </row>
    <row r="6">
      <c r="A6" t="inlineStr">
        <is>
          <t>Account Charges</t>
        </is>
      </c>
      <c r="B6" s="15" t="n">
        <v>44.3</v>
      </c>
      <c r="C6" s="15" t="n">
        <v>44.3</v>
      </c>
      <c r="D6" t="inlineStr">
        <is>
          <t>YES</t>
        </is>
      </c>
    </row>
    <row r="7">
      <c r="A7" t="inlineStr">
        <is>
          <t>Deferred Credit Plans (net)</t>
        </is>
      </c>
      <c r="B7" s="15" t="n">
        <v>400.8</v>
      </c>
      <c r="C7" s="15" t="n">
        <v>400.8</v>
      </c>
      <c r="D7" t="inlineStr">
        <is>
          <t>YES</t>
        </is>
      </c>
    </row>
    <row r="8">
      <c r="A8" t="inlineStr"/>
      <c r="D8" t="inlineStr"/>
    </row>
    <row r="9">
      <c r="A9" t="inlineStr">
        <is>
          <t>Standard Plan — New Debits</t>
        </is>
      </c>
      <c r="B9" s="15" t="n">
        <v>13582.01</v>
      </c>
      <c r="C9" s="15" t="n">
        <v>13582.01</v>
      </c>
      <c r="D9" t="inlineStr">
        <is>
          <t>YES</t>
        </is>
      </c>
    </row>
    <row r="10">
      <c r="A10" t="inlineStr">
        <is>
          <t>Standard Plan — New Credits</t>
        </is>
      </c>
      <c r="B10" s="15" t="n">
        <v>26034.23</v>
      </c>
      <c r="C10" s="15" t="n">
        <v>26034.23</v>
      </c>
      <c r="D10" t="inlineStr">
        <is>
          <t>YES</t>
        </is>
      </c>
    </row>
    <row r="11">
      <c r="A11" t="inlineStr">
        <is>
          <t>Standard Plan — Opening Balance</t>
        </is>
      </c>
      <c r="B11" s="15" t="n">
        <v>22533.07</v>
      </c>
      <c r="C11" s="15" t="n">
        <v>22533.07</v>
      </c>
      <c r="D11" t="inlineStr"/>
    </row>
    <row r="12">
      <c r="A12" t="inlineStr">
        <is>
          <t>Standard Plan — Closing Balance</t>
        </is>
      </c>
      <c r="B12" s="15" t="n">
        <v>10080.85</v>
      </c>
      <c r="C12" s="15" t="n">
        <v>10080.85</v>
      </c>
      <c r="D12" t="inlineStr"/>
    </row>
    <row r="13">
      <c r="A13" t="inlineStr">
        <is>
          <t>Overall Total Closing Balance</t>
        </is>
      </c>
      <c r="B13" s="15" t="n">
        <v>11756.85</v>
      </c>
      <c r="C13" s="15" t="n">
        <v>11756.85</v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2026-08-04T10:11:50Z</dcterms:created>
  <dcterms:modified xsi:type="dcterms:W3CDTF">2026-08-04T10:11:50Z</dcterms:modified>
</cp:coreProperties>
</file>