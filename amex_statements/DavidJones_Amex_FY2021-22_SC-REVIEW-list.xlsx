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REVIEW - your call" sheetId="2" state="visible" r:id="rId2"/>
    <sheet name="Auto-SC - confirm" sheetId="3" state="visible" r:id="rId3"/>
  </sheets>
  <definedNames>
    <definedName name="_xlnm._FilterDatabase" localSheetId="1" hidden="1">'REVIEW - your call'!$A$4:$G$243</definedName>
    <definedName name="_xlnm._FilterDatabase" localSheetId="2" hidden="1">'Auto-SC - confirm'!$A$4:$G$95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</font>
    <font>
      <b val="1"/>
    </font>
    <font>
      <b val="1"/>
      <color rgb="00375623"/>
    </font>
    <font>
      <i val="1"/>
      <color rgb="00595959"/>
      <sz val="9"/>
    </font>
    <font>
      <b val="1"/>
      <color rgb="001F3864"/>
      <sz val="14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Financial Year 2021-22 (1 Jul 2021 – 30 Jun 2022) Stylecolab Expense Review</t>
        </is>
      </c>
    </row>
    <row r="2">
      <c r="A2" s="2" t="inlineStr"/>
      <c r="B2" t="inlineStr"/>
    </row>
    <row r="3">
      <c r="A3" s="3" t="inlineStr">
        <is>
          <t>Two tabs to work through:</t>
        </is>
      </c>
      <c r="B3" t="inlineStr"/>
    </row>
    <row r="4">
      <c r="A4" s="2" t="inlineStr">
        <is>
          <t xml:space="preserve">  1) REVIEW - your call</t>
        </is>
      </c>
      <c r="B4" t="inlineStr">
        <is>
          <t>239 mixed-merchant items. Blank 'Business?' — put Y or N.</t>
        </is>
      </c>
    </row>
    <row r="5">
      <c r="A5" s="2" t="inlineStr">
        <is>
          <t xml:space="preserve">  2) Auto-SC - confirm</t>
        </is>
      </c>
      <c r="B5" t="inlineStr">
        <is>
          <t>91 items I auto-flagged as business. Pre-filled 'Y' — change any to N.</t>
        </is>
      </c>
    </row>
    <row r="6">
      <c r="A6" s="2" t="inlineStr"/>
      <c r="B6" t="inlineStr"/>
    </row>
    <row r="7">
      <c r="A7" s="3" t="inlineStr">
        <is>
          <t>How it works:</t>
        </is>
      </c>
      <c r="B7" t="inlineStr"/>
    </row>
    <row r="8">
      <c r="A8" s="2" t="inlineStr">
        <is>
          <t xml:space="preserve">  • Items are grouped by merchant</t>
        </is>
      </c>
      <c r="B8" t="inlineStr">
        <is>
          <t>so you can decide similar rows quickly (e.g. all DAVID JONES together).</t>
        </is>
      </c>
    </row>
    <row r="9">
      <c r="A9" s="2" t="inlineStr">
        <is>
          <t xml:space="preserve">  • The green total (col D)</t>
        </is>
      </c>
      <c r="B9" t="inlineStr">
        <is>
          <t>adds up everything you mark 'Y' = your business claim for this year.</t>
        </is>
      </c>
    </row>
    <row r="10">
      <c r="A10" s="2" t="inlineStr">
        <is>
          <t xml:space="preserve">  • Send the file back</t>
        </is>
      </c>
      <c r="B10" t="inlineStr">
        <is>
          <t>and I'll lock in your answers and update the classification rules.</t>
        </is>
      </c>
    </row>
    <row r="11">
      <c r="A11" s="2" t="inlineStr"/>
      <c r="B11" t="inlineStr"/>
    </row>
    <row r="12">
      <c r="A12" s="3" t="inlineStr">
        <is>
          <t>Note:</t>
        </is>
      </c>
      <c r="B12" t="inlineStr">
        <is>
          <t>This year has NOT been reviewed by you before — all flags are auto-generated from your Stylecolab rules and need your confirmation.</t>
        </is>
      </c>
    </row>
    <row r="13">
      <c r="A13" s="2" t="inlineStr"/>
      <c r="B13" t="inlineStr"/>
    </row>
    <row r="14">
      <c r="A14" s="3" t="inlineStr">
        <is>
          <t>Totals to date:</t>
        </is>
      </c>
      <c r="B14" t="inlineStr"/>
    </row>
    <row r="15">
      <c r="A15" s="2" t="inlineStr">
        <is>
          <t xml:space="preserve">  REVIEW items</t>
        </is>
      </c>
      <c r="B15" t="inlineStr">
        <is>
          <t>27,154.14 AUD across 239 transactions</t>
        </is>
      </c>
    </row>
    <row r="16">
      <c r="A16" s="2" t="inlineStr">
        <is>
          <t xml:space="preserve">  Auto-SC (pre-flagged)</t>
        </is>
      </c>
      <c r="B16" t="inlineStr">
        <is>
          <t>6,769.98 AUD across 91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  <col width="20" customWidth="1" min="5" max="5"/>
    <col width="13" customWidth="1" min="6" max="6"/>
    <col width="50" customWidth="1" min="7" max="7"/>
  </cols>
  <sheetData>
    <row r="1">
      <c r="A1" s="4" t="inlineStr">
        <is>
          <t>Financial Year 2021-22 (1 Jul 2021 – 30 Jun 2022) — REVIEW items (mixed merchants: business or personal?)</t>
        </is>
      </c>
    </row>
    <row r="2">
      <c r="A2" s="5" t="inlineStr">
        <is>
          <t>Put Y (business) or N (personal) in the 'Business?' column. Items are grouped by merchant so you can decide similar ones together.</t>
        </is>
      </c>
    </row>
    <row r="4">
      <c r="A4" s="6" t="inlineStr">
        <is>
          <t>Date</t>
        </is>
      </c>
      <c r="B4" s="6" t="inlineStr">
        <is>
          <t>Merchant &amp; Location</t>
        </is>
      </c>
      <c r="C4" s="6" t="inlineStr">
        <is>
          <t>Amount (AUD)</t>
        </is>
      </c>
      <c r="D4" s="6" t="inlineStr">
        <is>
          <t>Business? (Y/N)</t>
        </is>
      </c>
      <c r="E4" s="6" t="inlineStr">
        <is>
          <t>Cardholder</t>
        </is>
      </c>
      <c r="F4" s="6" t="inlineStr">
        <is>
          <t>Source Stmt</t>
        </is>
      </c>
      <c r="G4" s="6" t="inlineStr">
        <is>
          <t>Notes</t>
        </is>
      </c>
    </row>
    <row r="5">
      <c r="A5" s="7" t="n">
        <v>44410</v>
      </c>
      <c r="B5" s="8" t="inlineStr">
        <is>
          <t>AMZN DIGITAL 503-7150002</t>
        </is>
      </c>
      <c r="C5" s="9" t="n">
        <v>1.34</v>
      </c>
      <c r="D5" s="10" t="inlineStr"/>
      <c r="E5" s="8" t="inlineStr">
        <is>
          <t>VICKI ZERTOPOULOS</t>
        </is>
      </c>
      <c r="F5" s="8" t="inlineStr">
        <is>
          <t>2021-08-22</t>
        </is>
      </c>
      <c r="G5" s="8" t="inlineStr"/>
    </row>
    <row r="6">
      <c r="A6" s="7" t="n">
        <v>44411</v>
      </c>
      <c r="B6" s="8" t="inlineStr">
        <is>
          <t>AMZN DIGITAL 503-7150002</t>
        </is>
      </c>
      <c r="C6" s="9" t="n">
        <v>12.99</v>
      </c>
      <c r="D6" s="10" t="inlineStr"/>
      <c r="E6" s="8" t="inlineStr">
        <is>
          <t>VICKI ZERTOPOULOS</t>
        </is>
      </c>
      <c r="F6" s="8" t="inlineStr">
        <is>
          <t>2021-08-22</t>
        </is>
      </c>
      <c r="G6" s="8" t="inlineStr"/>
    </row>
    <row r="7">
      <c r="A7" s="7" t="n">
        <v>44411</v>
      </c>
      <c r="B7" s="8" t="inlineStr">
        <is>
          <t>AMZN DIGITAL 503-7150002</t>
        </is>
      </c>
      <c r="C7" s="9" t="n">
        <v>15.76</v>
      </c>
      <c r="D7" s="10" t="inlineStr"/>
      <c r="E7" s="8" t="inlineStr">
        <is>
          <t>VICKI ZERTOPOULOS</t>
        </is>
      </c>
      <c r="F7" s="8" t="inlineStr">
        <is>
          <t>2021-08-22</t>
        </is>
      </c>
      <c r="G7" s="8" t="inlineStr"/>
    </row>
    <row r="8">
      <c r="A8" s="7" t="n">
        <v>44415</v>
      </c>
      <c r="B8" s="8" t="inlineStr">
        <is>
          <t>AMZN DIGITAL 503-7150002</t>
        </is>
      </c>
      <c r="C8" s="9" t="n">
        <v>14.99</v>
      </c>
      <c r="D8" s="10" t="inlineStr"/>
      <c r="E8" s="8" t="inlineStr">
        <is>
          <t>VICKI ZERTOPOULOS</t>
        </is>
      </c>
      <c r="F8" s="8" t="inlineStr">
        <is>
          <t>2021-08-22</t>
        </is>
      </c>
      <c r="G8" s="8" t="inlineStr"/>
    </row>
    <row r="9">
      <c r="A9" s="7" t="n">
        <v>44416</v>
      </c>
      <c r="B9" s="8" t="inlineStr">
        <is>
          <t>AMZN DIGITAL 503-7150002</t>
        </is>
      </c>
      <c r="C9" s="9" t="n">
        <v>14.93</v>
      </c>
      <c r="D9" s="10" t="inlineStr"/>
      <c r="E9" s="8" t="inlineStr">
        <is>
          <t>VICKI ZERTOPOULOS</t>
        </is>
      </c>
      <c r="F9" s="8" t="inlineStr">
        <is>
          <t>2021-08-22</t>
        </is>
      </c>
      <c r="G9" s="8" t="inlineStr"/>
    </row>
    <row r="10">
      <c r="A10" s="7" t="n">
        <v>44426</v>
      </c>
      <c r="B10" s="8" t="inlineStr">
        <is>
          <t>AMZN DIGITAL 503-7150002</t>
        </is>
      </c>
      <c r="C10" s="9" t="n">
        <v>9.99</v>
      </c>
      <c r="D10" s="10" t="inlineStr"/>
      <c r="E10" s="8" t="inlineStr">
        <is>
          <t>VICKI ZERTOPOULOS</t>
        </is>
      </c>
      <c r="F10" s="8" t="inlineStr">
        <is>
          <t>2021-08-22</t>
        </is>
      </c>
      <c r="G10" s="8" t="inlineStr"/>
    </row>
    <row r="11">
      <c r="A11" s="7" t="n">
        <v>44426</v>
      </c>
      <c r="B11" s="8" t="inlineStr">
        <is>
          <t>AMZN DIGITAL 503-7150002</t>
        </is>
      </c>
      <c r="C11" s="9" t="n">
        <v>7.07</v>
      </c>
      <c r="D11" s="10" t="inlineStr"/>
      <c r="E11" s="8" t="inlineStr">
        <is>
          <t>VICKI ZERTOPOULOS</t>
        </is>
      </c>
      <c r="F11" s="8" t="inlineStr">
        <is>
          <t>2021-08-22</t>
        </is>
      </c>
      <c r="G11" s="8" t="inlineStr"/>
    </row>
    <row r="12">
      <c r="A12" s="7" t="n">
        <v>44426</v>
      </c>
      <c r="B12" s="8" t="inlineStr">
        <is>
          <t>AMZN DIGITAL 503-7150002</t>
        </is>
      </c>
      <c r="C12" s="9" t="n">
        <v>15.99</v>
      </c>
      <c r="D12" s="10" t="inlineStr"/>
      <c r="E12" s="8" t="inlineStr">
        <is>
          <t>VICKI ZERTOPOULOS</t>
        </is>
      </c>
      <c r="F12" s="8" t="inlineStr">
        <is>
          <t>2021-08-22</t>
        </is>
      </c>
      <c r="G12" s="8" t="inlineStr"/>
    </row>
    <row r="13">
      <c r="A13" s="7" t="n">
        <v>44434</v>
      </c>
      <c r="B13" s="8" t="inlineStr">
        <is>
          <t>AMZN DIGITAL 503-7150002</t>
        </is>
      </c>
      <c r="C13" s="9" t="n">
        <v>16.99</v>
      </c>
      <c r="D13" s="10" t="inlineStr"/>
      <c r="E13" s="8" t="inlineStr">
        <is>
          <t>VICKI ZERTOPOULOS</t>
        </is>
      </c>
      <c r="F13" s="8" t="inlineStr">
        <is>
          <t>2021-09-22</t>
        </is>
      </c>
      <c r="G13" s="8" t="inlineStr"/>
    </row>
    <row r="14">
      <c r="A14" s="7" t="n">
        <v>44451</v>
      </c>
      <c r="B14" s="8" t="inlineStr">
        <is>
          <t>AMZN DIGITAL 503-7150002</t>
        </is>
      </c>
      <c r="C14" s="9" t="n">
        <v>10.85</v>
      </c>
      <c r="D14" s="10" t="inlineStr"/>
      <c r="E14" s="8" t="inlineStr">
        <is>
          <t>VICKI ZERTOPOULOS</t>
        </is>
      </c>
      <c r="F14" s="8" t="inlineStr">
        <is>
          <t>2021-09-22</t>
        </is>
      </c>
      <c r="G14" s="8" t="inlineStr"/>
    </row>
    <row r="15">
      <c r="A15" s="7" t="n">
        <v>44473</v>
      </c>
      <c r="B15" s="8" t="inlineStr">
        <is>
          <t>AMZN DIGITAL 503-7150002</t>
        </is>
      </c>
      <c r="C15" s="9" t="n">
        <v>6.99</v>
      </c>
      <c r="D15" s="10" t="inlineStr"/>
      <c r="E15" s="8" t="inlineStr">
        <is>
          <t>VICKI ZERTOPOULOS</t>
        </is>
      </c>
      <c r="F15" s="8" t="inlineStr">
        <is>
          <t>2021-10-22</t>
        </is>
      </c>
      <c r="G15" s="8" t="inlineStr"/>
    </row>
    <row r="16">
      <c r="A16" s="7" t="n">
        <v>44474</v>
      </c>
      <c r="B16" s="8" t="inlineStr">
        <is>
          <t>AMZN DIGITAL 503-7150002</t>
        </is>
      </c>
      <c r="C16" s="9" t="n">
        <v>6.99</v>
      </c>
      <c r="D16" s="10" t="inlineStr"/>
      <c r="E16" s="8" t="inlineStr">
        <is>
          <t>VICKI ZERTOPOULOS</t>
        </is>
      </c>
      <c r="F16" s="8" t="inlineStr">
        <is>
          <t>2021-10-22</t>
        </is>
      </c>
      <c r="G16" s="8" t="inlineStr"/>
    </row>
    <row r="17">
      <c r="A17" s="7" t="n">
        <v>44475</v>
      </c>
      <c r="B17" s="8" t="inlineStr">
        <is>
          <t>AMZN DIGITAL 503-7150002</t>
        </is>
      </c>
      <c r="C17" s="9" t="n">
        <v>6.99</v>
      </c>
      <c r="D17" s="10" t="inlineStr"/>
      <c r="E17" s="8" t="inlineStr">
        <is>
          <t>VICKI ZERTOPOULOS</t>
        </is>
      </c>
      <c r="F17" s="8" t="inlineStr">
        <is>
          <t>2021-10-22</t>
        </is>
      </c>
      <c r="G17" s="8" t="inlineStr"/>
    </row>
    <row r="18">
      <c r="A18" s="7" t="n">
        <v>44476</v>
      </c>
      <c r="B18" s="8" t="inlineStr">
        <is>
          <t>AMZN DIGITAL 503-7150002</t>
        </is>
      </c>
      <c r="C18" s="9" t="n">
        <v>8.99</v>
      </c>
      <c r="D18" s="10" t="inlineStr"/>
      <c r="E18" s="8" t="inlineStr">
        <is>
          <t>VICKI ZERTOPOULOS</t>
        </is>
      </c>
      <c r="F18" s="8" t="inlineStr">
        <is>
          <t>2021-10-22</t>
        </is>
      </c>
      <c r="G18" s="8" t="inlineStr"/>
    </row>
    <row r="19">
      <c r="A19" s="7" t="n">
        <v>44478</v>
      </c>
      <c r="B19" s="8" t="inlineStr">
        <is>
          <t>AMZN DIGITAL 503-7150002</t>
        </is>
      </c>
      <c r="C19" s="9" t="n">
        <v>12.99</v>
      </c>
      <c r="D19" s="10" t="inlineStr"/>
      <c r="E19" s="8" t="inlineStr">
        <is>
          <t>VICKI ZERTOPOULOS</t>
        </is>
      </c>
      <c r="F19" s="8" t="inlineStr">
        <is>
          <t>2021-10-22</t>
        </is>
      </c>
      <c r="G19" s="8" t="inlineStr"/>
    </row>
    <row r="20">
      <c r="A20" s="7" t="n">
        <v>44479</v>
      </c>
      <c r="B20" s="8" t="inlineStr">
        <is>
          <t>AMZN DIGITAL 503-7150002</t>
        </is>
      </c>
      <c r="C20" s="9" t="n">
        <v>12.99</v>
      </c>
      <c r="D20" s="10" t="inlineStr"/>
      <c r="E20" s="8" t="inlineStr">
        <is>
          <t>VICKI ZERTOPOULOS</t>
        </is>
      </c>
      <c r="F20" s="8" t="inlineStr">
        <is>
          <t>2021-10-22</t>
        </is>
      </c>
      <c r="G20" s="8" t="inlineStr"/>
    </row>
    <row r="21">
      <c r="A21" s="7" t="n">
        <v>44481</v>
      </c>
      <c r="B21" s="8" t="inlineStr">
        <is>
          <t>AMZN DIGITAL 503-7150002</t>
        </is>
      </c>
      <c r="C21" s="9" t="n">
        <v>14.99</v>
      </c>
      <c r="D21" s="10" t="inlineStr"/>
      <c r="E21" s="8" t="inlineStr">
        <is>
          <t>VICKI ZERTOPOULOS</t>
        </is>
      </c>
      <c r="F21" s="8" t="inlineStr">
        <is>
          <t>2021-10-22</t>
        </is>
      </c>
      <c r="G21" s="8" t="inlineStr"/>
    </row>
    <row r="22">
      <c r="A22" s="7" t="n">
        <v>44680</v>
      </c>
      <c r="B22" s="8" t="inlineStr">
        <is>
          <t>AMZN DIGITAL 503-7150002</t>
        </is>
      </c>
      <c r="C22" s="9" t="n">
        <v>13.99</v>
      </c>
      <c r="D22" s="10" t="inlineStr"/>
      <c r="E22" s="8" t="inlineStr">
        <is>
          <t>VICKI ZERTOPOULOS</t>
        </is>
      </c>
      <c r="F22" s="8" t="inlineStr">
        <is>
          <t>2022-05-22</t>
        </is>
      </c>
      <c r="G22" s="8" t="inlineStr"/>
    </row>
    <row r="23">
      <c r="A23" s="7" t="n">
        <v>44633</v>
      </c>
      <c r="B23" s="8" t="inlineStr">
        <is>
          <t>BED BATH N TABLE CAMBER CAMBERWELL</t>
        </is>
      </c>
      <c r="C23" s="9" t="n">
        <v>499.38</v>
      </c>
      <c r="D23" s="10" t="inlineStr"/>
      <c r="E23" s="8" t="inlineStr">
        <is>
          <t>VICKI ZERTOPOULOS</t>
        </is>
      </c>
      <c r="F23" s="8" t="inlineStr">
        <is>
          <t>2022-03-22</t>
        </is>
      </c>
      <c r="G23" s="8" t="inlineStr"/>
    </row>
    <row r="24">
      <c r="A24" s="7" t="n">
        <v>44534</v>
      </c>
      <c r="B24" s="8" t="inlineStr">
        <is>
          <t>BIG W 0368 DONCASTER DONCASTER</t>
        </is>
      </c>
      <c r="C24" s="9" t="n">
        <v>7.5</v>
      </c>
      <c r="D24" s="10" t="inlineStr"/>
      <c r="E24" s="8" t="inlineStr">
        <is>
          <t>VICKI ZERTOPOULOS</t>
        </is>
      </c>
      <c r="F24" s="8" t="inlineStr">
        <is>
          <t>2021-12-22</t>
        </is>
      </c>
      <c r="G24" s="8" t="inlineStr"/>
    </row>
    <row r="25">
      <c r="A25" s="7" t="n">
        <v>44534</v>
      </c>
      <c r="B25" s="8" t="inlineStr">
        <is>
          <t>BIG W 0368 DONCASTER DONCASTER</t>
        </is>
      </c>
      <c r="C25" s="9" t="n">
        <v>63</v>
      </c>
      <c r="D25" s="10" t="inlineStr"/>
      <c r="E25" s="8" t="inlineStr">
        <is>
          <t>VICKI ZERTOPOULOS</t>
        </is>
      </c>
      <c r="F25" s="8" t="inlineStr">
        <is>
          <t>2021-12-22</t>
        </is>
      </c>
      <c r="G25" s="8" t="inlineStr"/>
    </row>
    <row r="26">
      <c r="A26" s="7" t="n">
        <v>44537</v>
      </c>
      <c r="B26" s="8" t="inlineStr">
        <is>
          <t>BIG W 0368 DONCASTER DONCASTER</t>
        </is>
      </c>
      <c r="C26" s="9" t="n">
        <v>34</v>
      </c>
      <c r="D26" s="10" t="inlineStr"/>
      <c r="E26" s="8" t="inlineStr">
        <is>
          <t>VICKI ZERTOPOULOS</t>
        </is>
      </c>
      <c r="F26" s="8" t="inlineStr">
        <is>
          <t>2021-12-22</t>
        </is>
      </c>
      <c r="G26" s="8" t="inlineStr"/>
    </row>
    <row r="27">
      <c r="A27" s="7" t="n">
        <v>44552</v>
      </c>
      <c r="B27" s="8" t="inlineStr">
        <is>
          <t>BIG W 0368 DONCASTER DONCASTER</t>
        </is>
      </c>
      <c r="C27" s="9" t="n">
        <v>80</v>
      </c>
      <c r="D27" s="10" t="inlineStr"/>
      <c r="E27" s="8" t="inlineStr">
        <is>
          <t>VICKI ZERTOPOULOS</t>
        </is>
      </c>
      <c r="F27" s="8" t="inlineStr">
        <is>
          <t>2022-01-22</t>
        </is>
      </c>
      <c r="G27" s="8" t="inlineStr"/>
    </row>
    <row r="28">
      <c r="A28" s="7" t="n">
        <v>44442</v>
      </c>
      <c r="B28" s="8" t="inlineStr">
        <is>
          <t>BIG W ONLINE BELLA VISTA</t>
        </is>
      </c>
      <c r="C28" s="9" t="n">
        <v>36</v>
      </c>
      <c r="D28" s="10" t="inlineStr"/>
      <c r="E28" s="8" t="inlineStr">
        <is>
          <t>VICKI ZERTOPOULOS</t>
        </is>
      </c>
      <c r="F28" s="8" t="inlineStr">
        <is>
          <t>2021-09-22</t>
        </is>
      </c>
      <c r="G28" s="8" t="inlineStr"/>
    </row>
    <row r="29">
      <c r="A29" s="7" t="n">
        <v>44421</v>
      </c>
      <c r="B29" s="8" t="inlineStr">
        <is>
          <t>COLES BALWYN NORTH 565 BALWYN NORTH</t>
        </is>
      </c>
      <c r="C29" s="9" t="n">
        <v>28</v>
      </c>
      <c r="D29" s="10" t="inlineStr"/>
      <c r="E29" s="8" t="inlineStr">
        <is>
          <t>VICKI ZERTOPOULOS</t>
        </is>
      </c>
      <c r="F29" s="8" t="inlineStr">
        <is>
          <t>2021-08-22</t>
        </is>
      </c>
      <c r="G29" s="8" t="inlineStr"/>
    </row>
    <row r="30">
      <c r="A30" s="7" t="n">
        <v>44432</v>
      </c>
      <c r="B30" s="8" t="inlineStr">
        <is>
          <t>COLES BALWYN NORTH 565 BALWYN NORTH</t>
        </is>
      </c>
      <c r="C30" s="9" t="n">
        <v>158.49</v>
      </c>
      <c r="D30" s="10" t="inlineStr"/>
      <c r="E30" s="8" t="inlineStr">
        <is>
          <t>VICKI ZERTOPOULOS</t>
        </is>
      </c>
      <c r="F30" s="8" t="inlineStr">
        <is>
          <t>2021-09-22</t>
        </is>
      </c>
      <c r="G30" s="8" t="inlineStr"/>
    </row>
    <row r="31">
      <c r="A31" s="7" t="n">
        <v>44436</v>
      </c>
      <c r="B31" s="8" t="inlineStr">
        <is>
          <t>COLES BALWYN NORTH 565 BALWYN NORTH</t>
        </is>
      </c>
      <c r="C31" s="9" t="n">
        <v>166.29</v>
      </c>
      <c r="D31" s="10" t="inlineStr"/>
      <c r="E31" s="8" t="inlineStr">
        <is>
          <t>VICKI ZERTOPOULOS</t>
        </is>
      </c>
      <c r="F31" s="8" t="inlineStr">
        <is>
          <t>2021-09-22</t>
        </is>
      </c>
      <c r="G31" s="8" t="inlineStr"/>
    </row>
    <row r="32">
      <c r="A32" s="7" t="n">
        <v>44443</v>
      </c>
      <c r="B32" s="8" t="inlineStr">
        <is>
          <t>COLES BALWYN NORTH 565 BALWYN NORTH</t>
        </is>
      </c>
      <c r="C32" s="9" t="n">
        <v>253.32</v>
      </c>
      <c r="D32" s="10" t="inlineStr"/>
      <c r="E32" s="8" t="inlineStr">
        <is>
          <t>VICKI ZERTOPOULOS</t>
        </is>
      </c>
      <c r="F32" s="8" t="inlineStr">
        <is>
          <t>2021-09-22</t>
        </is>
      </c>
      <c r="G32" s="8" t="inlineStr"/>
    </row>
    <row r="33">
      <c r="A33" s="7" t="n">
        <v>44443</v>
      </c>
      <c r="B33" s="8" t="inlineStr">
        <is>
          <t>COLES BALWYN NORTH 565 BALWYN NORTH</t>
        </is>
      </c>
      <c r="C33" s="9" t="n">
        <v>3</v>
      </c>
      <c r="D33" s="10" t="inlineStr"/>
      <c r="E33" s="8" t="inlineStr">
        <is>
          <t>VICKI ZERTOPOULOS</t>
        </is>
      </c>
      <c r="F33" s="8" t="inlineStr">
        <is>
          <t>2021-09-22</t>
        </is>
      </c>
      <c r="G33" s="8" t="inlineStr"/>
    </row>
    <row r="34">
      <c r="A34" s="7" t="n">
        <v>44450</v>
      </c>
      <c r="B34" s="8" t="inlineStr">
        <is>
          <t>COLES BALWYN NORTH 565 BALWYN NORTH</t>
        </is>
      </c>
      <c r="C34" s="9" t="n">
        <v>75.93000000000001</v>
      </c>
      <c r="D34" s="10" t="inlineStr"/>
      <c r="E34" s="8" t="inlineStr">
        <is>
          <t>VICKI ZERTOPOULOS</t>
        </is>
      </c>
      <c r="F34" s="8" t="inlineStr">
        <is>
          <t>2021-09-22</t>
        </is>
      </c>
      <c r="G34" s="8" t="inlineStr"/>
    </row>
    <row r="35">
      <c r="A35" s="7" t="n">
        <v>44452</v>
      </c>
      <c r="B35" s="8" t="inlineStr">
        <is>
          <t>COLES BALWYN NORTH 565 BALWYN NORTH</t>
        </is>
      </c>
      <c r="C35" s="9" t="n">
        <v>95.09</v>
      </c>
      <c r="D35" s="10" t="inlineStr"/>
      <c r="E35" s="8" t="inlineStr">
        <is>
          <t>VICKI ZERTOPOULOS</t>
        </is>
      </c>
      <c r="F35" s="8" t="inlineStr">
        <is>
          <t>2021-09-22</t>
        </is>
      </c>
      <c r="G35" s="8" t="inlineStr"/>
    </row>
    <row r="36">
      <c r="A36" s="7" t="n">
        <v>44455</v>
      </c>
      <c r="B36" s="8" t="inlineStr">
        <is>
          <t>COLES BALWYN NORTH 565 BALWYN NORTH</t>
        </is>
      </c>
      <c r="C36" s="9" t="n">
        <v>109.13</v>
      </c>
      <c r="D36" s="10" t="inlineStr"/>
      <c r="E36" s="8" t="inlineStr">
        <is>
          <t>VICKI ZERTOPOULOS</t>
        </is>
      </c>
      <c r="F36" s="8" t="inlineStr">
        <is>
          <t>2021-09-22</t>
        </is>
      </c>
      <c r="G36" s="8" t="inlineStr"/>
    </row>
    <row r="37">
      <c r="A37" s="7" t="n">
        <v>44492</v>
      </c>
      <c r="B37" s="8" t="inlineStr">
        <is>
          <t>COLES BALWYN NORTH 565 BALWYN NORTH</t>
        </is>
      </c>
      <c r="C37" s="9" t="n">
        <v>107.1</v>
      </c>
      <c r="D37" s="10" t="inlineStr"/>
      <c r="E37" s="8" t="inlineStr">
        <is>
          <t>VICKI ZERTOPOULOS</t>
        </is>
      </c>
      <c r="F37" s="8" t="inlineStr">
        <is>
          <t>2021-11-22</t>
        </is>
      </c>
      <c r="G37" s="8" t="inlineStr"/>
    </row>
    <row r="38">
      <c r="A38" s="7" t="n">
        <v>44498</v>
      </c>
      <c r="B38" s="8" t="inlineStr">
        <is>
          <t>COLES BALWYN NORTH 565 BALWYN NORTH</t>
        </is>
      </c>
      <c r="C38" s="9" t="n">
        <v>49.2</v>
      </c>
      <c r="D38" s="10" t="inlineStr"/>
      <c r="E38" s="8" t="inlineStr">
        <is>
          <t>VICKI ZERTOPOULOS</t>
        </is>
      </c>
      <c r="F38" s="8" t="inlineStr">
        <is>
          <t>2021-11-22</t>
        </is>
      </c>
      <c r="G38" s="8" t="inlineStr"/>
    </row>
    <row r="39">
      <c r="A39" s="7" t="n">
        <v>44535</v>
      </c>
      <c r="B39" s="8" t="inlineStr">
        <is>
          <t>COLES BALWYN NORTH 565 BALWYN NORTH</t>
        </is>
      </c>
      <c r="C39" s="9" t="n">
        <v>103.11</v>
      </c>
      <c r="D39" s="10" t="inlineStr"/>
      <c r="E39" s="8" t="inlineStr">
        <is>
          <t>VICKI ZERTOPOULOS</t>
        </is>
      </c>
      <c r="F39" s="8" t="inlineStr">
        <is>
          <t>2021-12-22</t>
        </is>
      </c>
      <c r="G39" s="8" t="inlineStr"/>
    </row>
    <row r="40">
      <c r="A40" s="7" t="n">
        <v>44573</v>
      </c>
      <c r="B40" s="8" t="inlineStr">
        <is>
          <t>COLES BALWYN NORTH 565 BALWYN NORTH</t>
        </is>
      </c>
      <c r="C40" s="9" t="n">
        <v>112.65</v>
      </c>
      <c r="D40" s="10" t="inlineStr"/>
      <c r="E40" s="8" t="inlineStr">
        <is>
          <t>VICKI ZERTOPOULOS</t>
        </is>
      </c>
      <c r="F40" s="8" t="inlineStr">
        <is>
          <t>2022-01-22</t>
        </is>
      </c>
      <c r="G40" s="8" t="inlineStr"/>
    </row>
    <row r="41">
      <c r="A41" s="7" t="n">
        <v>44600</v>
      </c>
      <c r="B41" s="8" t="inlineStr">
        <is>
          <t>COLES BALWYN NORTH 565 BALWYN NORTH</t>
        </is>
      </c>
      <c r="C41" s="9" t="n">
        <v>30.84</v>
      </c>
      <c r="D41" s="10" t="inlineStr"/>
      <c r="E41" s="8" t="inlineStr">
        <is>
          <t>VICKI ZERTOPOULOS</t>
        </is>
      </c>
      <c r="F41" s="8" t="inlineStr">
        <is>
          <t>2022-02-22</t>
        </is>
      </c>
      <c r="G41" s="8" t="inlineStr"/>
    </row>
    <row r="42">
      <c r="A42" s="7" t="n">
        <v>44610</v>
      </c>
      <c r="B42" s="8" t="inlineStr">
        <is>
          <t>COLES BALWYN NORTH 565 BALWYN NORTH</t>
        </is>
      </c>
      <c r="C42" s="9" t="n">
        <v>10</v>
      </c>
      <c r="D42" s="10" t="inlineStr"/>
      <c r="E42" s="8" t="inlineStr">
        <is>
          <t>VICKI ZERTOPOULOS</t>
        </is>
      </c>
      <c r="F42" s="8" t="inlineStr">
        <is>
          <t>2022-02-22</t>
        </is>
      </c>
      <c r="G42" s="8" t="inlineStr"/>
    </row>
    <row r="43">
      <c r="A43" s="7" t="n">
        <v>44624</v>
      </c>
      <c r="B43" s="8" t="inlineStr">
        <is>
          <t>COLES BALWYN NORTH 565 BALWYN NORTH</t>
        </is>
      </c>
      <c r="C43" s="9" t="n">
        <v>3.8</v>
      </c>
      <c r="D43" s="10" t="inlineStr"/>
      <c r="E43" s="8" t="inlineStr">
        <is>
          <t>VICKI ZERTOPOULOS</t>
        </is>
      </c>
      <c r="F43" s="8" t="inlineStr">
        <is>
          <t>2022-03-22</t>
        </is>
      </c>
      <c r="G43" s="8" t="inlineStr"/>
    </row>
    <row r="44">
      <c r="A44" s="7" t="n">
        <v>44624</v>
      </c>
      <c r="B44" s="8" t="inlineStr">
        <is>
          <t>COLES BALWYN NORTH 565 BALWYN NORTH</t>
        </is>
      </c>
      <c r="C44" s="9" t="n">
        <v>10</v>
      </c>
      <c r="D44" s="10" t="inlineStr"/>
      <c r="E44" s="8" t="inlineStr">
        <is>
          <t>VICKI ZERTOPOULOS</t>
        </is>
      </c>
      <c r="F44" s="8" t="inlineStr">
        <is>
          <t>2022-03-22</t>
        </is>
      </c>
      <c r="G44" s="8" t="inlineStr"/>
    </row>
    <row r="45">
      <c r="A45" s="7" t="n">
        <v>44643</v>
      </c>
      <c r="B45" s="8" t="inlineStr">
        <is>
          <t>COLES BALWYN NORTH 565 BALWYN NORTH</t>
        </is>
      </c>
      <c r="C45" s="9" t="n">
        <v>45.3</v>
      </c>
      <c r="D45" s="10" t="inlineStr"/>
      <c r="E45" s="8" t="inlineStr">
        <is>
          <t>VICKI ZERTOPOULOS</t>
        </is>
      </c>
      <c r="F45" s="8" t="inlineStr">
        <is>
          <t>2022-04-22</t>
        </is>
      </c>
      <c r="G45" s="8" t="inlineStr">
        <is>
          <t>offers, or wish to change the address, name or phone number conversion commission of 3.00%. Any Charges converted by third parties prior to being</t>
        </is>
      </c>
    </row>
    <row r="46">
      <c r="A46" s="7" t="n">
        <v>44673</v>
      </c>
      <c r="B46" s="8" t="inlineStr">
        <is>
          <t>COLES BALWYN NORTH 565 BALWYN NORTH</t>
        </is>
      </c>
      <c r="C46" s="9" t="n">
        <v>20</v>
      </c>
      <c r="D46" s="10" t="inlineStr"/>
      <c r="E46" s="8" t="inlineStr">
        <is>
          <t>VICKI ZERTOPOULOS</t>
        </is>
      </c>
      <c r="F46" s="8" t="inlineStr">
        <is>
          <t>2022-05-22</t>
        </is>
      </c>
      <c r="G46" s="8" t="inlineStr"/>
    </row>
    <row r="47">
      <c r="A47" s="7" t="n">
        <v>44673</v>
      </c>
      <c r="B47" s="8" t="inlineStr">
        <is>
          <t>COLES BALWYN NORTH 565 BALWYN NORTH</t>
        </is>
      </c>
      <c r="C47" s="9" t="n">
        <v>157.79</v>
      </c>
      <c r="D47" s="10" t="inlineStr"/>
      <c r="E47" s="8" t="inlineStr">
        <is>
          <t>VICKI ZERTOPOULOS</t>
        </is>
      </c>
      <c r="F47" s="8" t="inlineStr">
        <is>
          <t>2022-05-22</t>
        </is>
      </c>
      <c r="G47" s="8" t="inlineStr"/>
    </row>
    <row r="48">
      <c r="A48" s="7" t="n">
        <v>44679</v>
      </c>
      <c r="B48" s="8" t="inlineStr">
        <is>
          <t>COLES BALWYN NORTH 565 BALWYN NORTH</t>
        </is>
      </c>
      <c r="C48" s="9" t="n">
        <v>121.1</v>
      </c>
      <c r="D48" s="10" t="inlineStr"/>
      <c r="E48" s="8" t="inlineStr">
        <is>
          <t>VICKI ZERTOPOULOS</t>
        </is>
      </c>
      <c r="F48" s="8" t="inlineStr">
        <is>
          <t>2022-05-22</t>
        </is>
      </c>
      <c r="G48" s="8" t="inlineStr"/>
    </row>
    <row r="49">
      <c r="A49" s="7" t="n">
        <v>44684</v>
      </c>
      <c r="B49" s="8" t="inlineStr">
        <is>
          <t>COLES BALWYN NORTH 565 BALWYN NORTH</t>
        </is>
      </c>
      <c r="C49" s="9" t="n">
        <v>70.45</v>
      </c>
      <c r="D49" s="10" t="inlineStr"/>
      <c r="E49" s="8" t="inlineStr">
        <is>
          <t>VICKI ZERTOPOULOS</t>
        </is>
      </c>
      <c r="F49" s="8" t="inlineStr">
        <is>
          <t>2022-05-22</t>
        </is>
      </c>
      <c r="G49" s="8" t="inlineStr"/>
    </row>
    <row r="50">
      <c r="A50" s="7" t="n">
        <v>44694</v>
      </c>
      <c r="B50" s="8" t="inlineStr">
        <is>
          <t>COLES BALWYN NORTH 565 BALWYN NORTH</t>
        </is>
      </c>
      <c r="C50" s="9" t="n">
        <v>54</v>
      </c>
      <c r="D50" s="10" t="inlineStr"/>
      <c r="E50" s="8" t="inlineStr">
        <is>
          <t>VICKI ZERTOPOULOS</t>
        </is>
      </c>
      <c r="F50" s="8" t="inlineStr">
        <is>
          <t>2022-05-22</t>
        </is>
      </c>
      <c r="G50" s="8" t="inlineStr"/>
    </row>
    <row r="51">
      <c r="A51" s="7" t="n">
        <v>44701</v>
      </c>
      <c r="B51" s="8" t="inlineStr">
        <is>
          <t>COLES BALWYN NORTH 565 BALWYN NORTH</t>
        </is>
      </c>
      <c r="C51" s="9" t="n">
        <v>48.6</v>
      </c>
      <c r="D51" s="10" t="inlineStr"/>
      <c r="E51" s="8" t="inlineStr">
        <is>
          <t>VICKI ZERTOPOULOS</t>
        </is>
      </c>
      <c r="F51" s="8" t="inlineStr">
        <is>
          <t>2022-05-22</t>
        </is>
      </c>
      <c r="G51" s="8" t="inlineStr"/>
    </row>
    <row r="52">
      <c r="A52" s="7" t="n">
        <v>44701</v>
      </c>
      <c r="B52" s="8" t="inlineStr">
        <is>
          <t>COLES BALWYN NORTH 565 BALWYN NORTH</t>
        </is>
      </c>
      <c r="C52" s="9" t="n">
        <v>18</v>
      </c>
      <c r="D52" s="10" t="inlineStr"/>
      <c r="E52" s="8" t="inlineStr">
        <is>
          <t>VICKI ZERTOPOULOS</t>
        </is>
      </c>
      <c r="F52" s="8" t="inlineStr">
        <is>
          <t>2022-05-22</t>
        </is>
      </c>
      <c r="G52" s="8" t="inlineStr"/>
    </row>
    <row r="53">
      <c r="A53" s="7" t="n">
        <v>44412</v>
      </c>
      <c r="B53" s="8" t="inlineStr">
        <is>
          <t>COLES DONCASTER 7735 DONCASTER</t>
        </is>
      </c>
      <c r="C53" s="9" t="n">
        <v>18</v>
      </c>
      <c r="D53" s="10" t="inlineStr"/>
      <c r="E53" s="8" t="inlineStr">
        <is>
          <t>VICKI ZERTOPOULOS</t>
        </is>
      </c>
      <c r="F53" s="8" t="inlineStr">
        <is>
          <t>2021-08-22</t>
        </is>
      </c>
      <c r="G53" s="8" t="inlineStr"/>
    </row>
    <row r="54">
      <c r="A54" s="7" t="n">
        <v>44426</v>
      </c>
      <c r="B54" s="8" t="inlineStr">
        <is>
          <t>COLES DONCASTER 7735 DONCASTER</t>
        </is>
      </c>
      <c r="C54" s="9" t="n">
        <v>119.9</v>
      </c>
      <c r="D54" s="10" t="inlineStr"/>
      <c r="E54" s="8" t="inlineStr">
        <is>
          <t>VICKI ZERTOPOULOS</t>
        </is>
      </c>
      <c r="F54" s="8" t="inlineStr">
        <is>
          <t>2021-08-22</t>
        </is>
      </c>
      <c r="G54" s="8" t="inlineStr"/>
    </row>
    <row r="55">
      <c r="A55" s="7" t="n">
        <v>44694</v>
      </c>
      <c r="B55" s="8" t="inlineStr">
        <is>
          <t>COLES DONCASTER 7735 DONCASTER</t>
        </is>
      </c>
      <c r="C55" s="9" t="n">
        <v>46.95</v>
      </c>
      <c r="D55" s="10" t="inlineStr"/>
      <c r="E55" s="8" t="inlineStr">
        <is>
          <t>VICKI ZERTOPOULOS</t>
        </is>
      </c>
      <c r="F55" s="8" t="inlineStr">
        <is>
          <t>2022-05-22</t>
        </is>
      </c>
      <c r="G55" s="8" t="inlineStr"/>
    </row>
    <row r="56">
      <c r="A56" s="7" t="n">
        <v>44495</v>
      </c>
      <c r="B56" s="8" t="inlineStr">
        <is>
          <t>COLES EXPRESS BRUNSWICK BRUNSWICK EAST</t>
        </is>
      </c>
      <c r="C56" s="9" t="n">
        <v>131.26</v>
      </c>
      <c r="D56" s="10" t="inlineStr"/>
      <c r="E56" s="8" t="inlineStr">
        <is>
          <t>VICKI ZERTOPOULOS</t>
        </is>
      </c>
      <c r="F56" s="8" t="inlineStr">
        <is>
          <t>2021-11-22</t>
        </is>
      </c>
      <c r="G56" s="8" t="inlineStr"/>
    </row>
    <row r="57">
      <c r="A57" s="7" t="n">
        <v>44390</v>
      </c>
      <c r="B57" s="8" t="inlineStr">
        <is>
          <t>COLES KEW 7766 KEW</t>
        </is>
      </c>
      <c r="C57" s="9" t="n">
        <v>78.04000000000001</v>
      </c>
      <c r="D57" s="10" t="inlineStr"/>
      <c r="E57" s="8" t="inlineStr">
        <is>
          <t>VICKI ZERTOPOULOS</t>
        </is>
      </c>
      <c r="F57" s="8" t="inlineStr">
        <is>
          <t>2021-07-22</t>
        </is>
      </c>
      <c r="G57" s="8" t="inlineStr"/>
    </row>
    <row r="58">
      <c r="A58" s="7" t="n">
        <v>44392</v>
      </c>
      <c r="B58" s="8" t="inlineStr">
        <is>
          <t>COLES KEW 7766 KEW</t>
        </is>
      </c>
      <c r="C58" s="9" t="n">
        <v>220.17</v>
      </c>
      <c r="D58" s="10" t="inlineStr"/>
      <c r="E58" s="8" t="inlineStr">
        <is>
          <t>VICKI ZERTOPOULOS</t>
        </is>
      </c>
      <c r="F58" s="8" t="inlineStr">
        <is>
          <t>2021-07-22</t>
        </is>
      </c>
      <c r="G58" s="8" t="inlineStr"/>
    </row>
    <row r="59">
      <c r="A59" s="7" t="n">
        <v>44412</v>
      </c>
      <c r="B59" s="8" t="inlineStr">
        <is>
          <t>COLES KEW 7766 KEW</t>
        </is>
      </c>
      <c r="C59" s="9" t="n">
        <v>9</v>
      </c>
      <c r="D59" s="10" t="inlineStr"/>
      <c r="E59" s="8" t="inlineStr">
        <is>
          <t>VICKI ZERTOPOULOS</t>
        </is>
      </c>
      <c r="F59" s="8" t="inlineStr">
        <is>
          <t>2021-08-22</t>
        </is>
      </c>
      <c r="G59" s="8" t="inlineStr"/>
    </row>
    <row r="60">
      <c r="A60" s="7" t="n">
        <v>44417</v>
      </c>
      <c r="B60" s="8" t="inlineStr">
        <is>
          <t>COLES KEW 7766 KEW</t>
        </is>
      </c>
      <c r="C60" s="9" t="n">
        <v>94.8</v>
      </c>
      <c r="D60" s="10" t="inlineStr"/>
      <c r="E60" s="8" t="inlineStr">
        <is>
          <t>VICKI ZERTOPOULOS</t>
        </is>
      </c>
      <c r="F60" s="8" t="inlineStr">
        <is>
          <t>2021-08-22</t>
        </is>
      </c>
      <c r="G60" s="8" t="inlineStr"/>
    </row>
    <row r="61">
      <c r="A61" s="7" t="n">
        <v>44432</v>
      </c>
      <c r="B61" s="8" t="inlineStr">
        <is>
          <t>COLES KEW 7766 KEW</t>
        </is>
      </c>
      <c r="C61" s="9" t="n">
        <v>48.4</v>
      </c>
      <c r="D61" s="10" t="inlineStr"/>
      <c r="E61" s="8" t="inlineStr">
        <is>
          <t>VICKI ZERTOPOULOS</t>
        </is>
      </c>
      <c r="F61" s="8" t="inlineStr">
        <is>
          <t>2021-09-22</t>
        </is>
      </c>
      <c r="G61" s="8" t="inlineStr"/>
    </row>
    <row r="62">
      <c r="A62" s="7" t="n">
        <v>44449</v>
      </c>
      <c r="B62" s="8" t="inlineStr">
        <is>
          <t>COLES KEW 7766 KEW</t>
        </is>
      </c>
      <c r="C62" s="9" t="n">
        <v>65.09</v>
      </c>
      <c r="D62" s="10" t="inlineStr"/>
      <c r="E62" s="8" t="inlineStr">
        <is>
          <t>VICKI ZERTOPOULOS</t>
        </is>
      </c>
      <c r="F62" s="8" t="inlineStr">
        <is>
          <t>2021-09-22</t>
        </is>
      </c>
      <c r="G62" s="8" t="inlineStr"/>
    </row>
    <row r="63">
      <c r="A63" s="7" t="n">
        <v>44461</v>
      </c>
      <c r="B63" s="8" t="inlineStr">
        <is>
          <t>COLES KEW 7766 KEW</t>
        </is>
      </c>
      <c r="C63" s="9" t="n">
        <v>2.7</v>
      </c>
      <c r="D63" s="10" t="inlineStr"/>
      <c r="E63" s="8" t="inlineStr">
        <is>
          <t>VICKI ZERTOPOULOS</t>
        </is>
      </c>
      <c r="F63" s="8" t="inlineStr">
        <is>
          <t>2021-10-22</t>
        </is>
      </c>
      <c r="G63" s="8" t="inlineStr"/>
    </row>
    <row r="64">
      <c r="A64" s="7" t="n">
        <v>44461</v>
      </c>
      <c r="B64" s="8" t="inlineStr">
        <is>
          <t>COLES KEW 7766 KEW</t>
        </is>
      </c>
      <c r="C64" s="9" t="n">
        <v>77.06</v>
      </c>
      <c r="D64" s="10" t="inlineStr"/>
      <c r="E64" s="8" t="inlineStr">
        <is>
          <t>VICKI ZERTOPOULOS</t>
        </is>
      </c>
      <c r="F64" s="8" t="inlineStr">
        <is>
          <t>2021-10-22</t>
        </is>
      </c>
      <c r="G64" s="8" t="inlineStr"/>
    </row>
    <row r="65">
      <c r="A65" s="7" t="n">
        <v>44475</v>
      </c>
      <c r="B65" s="8" t="inlineStr">
        <is>
          <t>COLES KEW 7766 KEW</t>
        </is>
      </c>
      <c r="C65" s="9" t="n">
        <v>172.61</v>
      </c>
      <c r="D65" s="10" t="inlineStr"/>
      <c r="E65" s="8" t="inlineStr">
        <is>
          <t>VICKI ZERTOPOULOS</t>
        </is>
      </c>
      <c r="F65" s="8" t="inlineStr">
        <is>
          <t>2021-10-22</t>
        </is>
      </c>
      <c r="G65" s="8" t="inlineStr"/>
    </row>
    <row r="66">
      <c r="A66" s="7" t="n">
        <v>44475</v>
      </c>
      <c r="B66" s="8" t="inlineStr">
        <is>
          <t>COLES KEW 7766 KEW</t>
        </is>
      </c>
      <c r="C66" s="9" t="n">
        <v>5</v>
      </c>
      <c r="D66" s="10" t="inlineStr"/>
      <c r="E66" s="8" t="inlineStr">
        <is>
          <t>VICKI ZERTOPOULOS</t>
        </is>
      </c>
      <c r="F66" s="8" t="inlineStr">
        <is>
          <t>2021-10-22</t>
        </is>
      </c>
      <c r="G66" s="8" t="inlineStr"/>
    </row>
    <row r="67">
      <c r="A67" s="7" t="n">
        <v>44527</v>
      </c>
      <c r="B67" s="8" t="inlineStr">
        <is>
          <t>COLES KEW 7766 KEW</t>
        </is>
      </c>
      <c r="C67" s="9" t="n">
        <v>78.59</v>
      </c>
      <c r="D67" s="10" t="inlineStr"/>
      <c r="E67" s="8" t="inlineStr">
        <is>
          <t>VICKI ZERTOPOULOS</t>
        </is>
      </c>
      <c r="F67" s="8" t="inlineStr">
        <is>
          <t>2021-12-22</t>
        </is>
      </c>
      <c r="G67" s="8" t="inlineStr"/>
    </row>
    <row r="68">
      <c r="A68" s="7" t="n">
        <v>44586</v>
      </c>
      <c r="B68" s="8" t="inlineStr">
        <is>
          <t>COLES KEW 7766 KEW</t>
        </is>
      </c>
      <c r="C68" s="9" t="n">
        <v>187.36</v>
      </c>
      <c r="D68" s="10" t="inlineStr"/>
      <c r="E68" s="8" t="inlineStr">
        <is>
          <t>VICKI ZERTOPOULOS</t>
        </is>
      </c>
      <c r="F68" s="8" t="inlineStr">
        <is>
          <t>2022-02-22</t>
        </is>
      </c>
      <c r="G68" s="8" t="inlineStr"/>
    </row>
    <row r="69">
      <c r="A69" s="7" t="n">
        <v>44420</v>
      </c>
      <c r="B69" s="8" t="inlineStr">
        <is>
          <t>COLES SUPERMARKETS GLEN HAWTHORN</t>
        </is>
      </c>
      <c r="C69" s="9" t="n">
        <v>106.1</v>
      </c>
      <c r="D69" s="10" t="inlineStr"/>
      <c r="E69" s="8" t="inlineStr">
        <is>
          <t>VICKI ZERTOPOULOS</t>
        </is>
      </c>
      <c r="F69" s="8" t="inlineStr">
        <is>
          <t>2021-08-22</t>
        </is>
      </c>
      <c r="G69" s="8" t="inlineStr"/>
    </row>
    <row r="70">
      <c r="A70" s="7" t="n">
        <v>44444</v>
      </c>
      <c r="B70" s="8" t="inlineStr">
        <is>
          <t>COLES SUPERMARKETS GLEN HAWTHORN</t>
        </is>
      </c>
      <c r="C70" s="9" t="n">
        <v>22</v>
      </c>
      <c r="D70" s="10" t="inlineStr"/>
      <c r="E70" s="8" t="inlineStr">
        <is>
          <t>VICKI ZERTOPOULOS</t>
        </is>
      </c>
      <c r="F70" s="8" t="inlineStr">
        <is>
          <t>2021-09-22</t>
        </is>
      </c>
      <c r="G70" s="8" t="inlineStr"/>
    </row>
    <row r="71">
      <c r="A71" s="7" t="n">
        <v>44520</v>
      </c>
      <c r="B71" s="8" t="inlineStr">
        <is>
          <t>COLES SUPERMARKETS GLEN HAWTHORN</t>
        </is>
      </c>
      <c r="C71" s="9" t="n">
        <v>11</v>
      </c>
      <c r="D71" s="10" t="inlineStr"/>
      <c r="E71" s="8" t="inlineStr">
        <is>
          <t>VICKI ZERTOPOULOS</t>
        </is>
      </c>
      <c r="F71" s="8" t="inlineStr">
        <is>
          <t>2021-11-22</t>
        </is>
      </c>
      <c r="G71" s="8" t="inlineStr"/>
    </row>
    <row r="72">
      <c r="A72" s="7" t="n">
        <v>44520</v>
      </c>
      <c r="B72" s="8" t="inlineStr">
        <is>
          <t>COLES SUPERMARKETS GLEN HAWTHORN</t>
        </is>
      </c>
      <c r="C72" s="9" t="n">
        <v>98.43000000000001</v>
      </c>
      <c r="D72" s="10" t="inlineStr"/>
      <c r="E72" s="8" t="inlineStr">
        <is>
          <t>VICKI ZERTOPOULOS</t>
        </is>
      </c>
      <c r="F72" s="8" t="inlineStr">
        <is>
          <t>2021-11-22</t>
        </is>
      </c>
      <c r="G72" s="8" t="inlineStr"/>
    </row>
    <row r="73">
      <c r="A73" s="7" t="n">
        <v>44554</v>
      </c>
      <c r="B73" s="8" t="inlineStr">
        <is>
          <t>COLES SUPERMARKETS GLEN HAWTHORN</t>
        </is>
      </c>
      <c r="C73" s="9" t="n">
        <v>40</v>
      </c>
      <c r="D73" s="10" t="inlineStr"/>
      <c r="E73" s="8" t="inlineStr">
        <is>
          <t>VICKI ZERTOPOULOS</t>
        </is>
      </c>
      <c r="F73" s="8" t="inlineStr">
        <is>
          <t>2022-01-22</t>
        </is>
      </c>
      <c r="G73" s="8" t="inlineStr"/>
    </row>
    <row r="74">
      <c r="A74" s="7" t="n">
        <v>44578</v>
      </c>
      <c r="B74" s="8" t="inlineStr">
        <is>
          <t>COLES SUPERMARKETS GLEN HAWTHORN</t>
        </is>
      </c>
      <c r="C74" s="9" t="n">
        <v>45.4</v>
      </c>
      <c r="D74" s="10" t="inlineStr"/>
      <c r="E74" s="8" t="inlineStr">
        <is>
          <t>VICKI ZERTOPOULOS</t>
        </is>
      </c>
      <c r="F74" s="8" t="inlineStr">
        <is>
          <t>2022-01-22</t>
        </is>
      </c>
      <c r="G74" s="8" t="inlineStr"/>
    </row>
    <row r="75">
      <c r="A75" s="7" t="n">
        <v>44615</v>
      </c>
      <c r="B75" s="8" t="inlineStr">
        <is>
          <t>COLES SUPERMARKETS GLEN HAWTHORN</t>
        </is>
      </c>
      <c r="C75" s="9" t="n">
        <v>33.11</v>
      </c>
      <c r="D75" s="10" t="inlineStr"/>
      <c r="E75" s="8" t="inlineStr">
        <is>
          <t>VICKI ZERTOPOULOS</t>
        </is>
      </c>
      <c r="F75" s="8" t="inlineStr">
        <is>
          <t>2022-03-22</t>
        </is>
      </c>
      <c r="G75" s="8" t="inlineStr"/>
    </row>
    <row r="76">
      <c r="A76" s="7" t="n">
        <v>44645</v>
      </c>
      <c r="B76" s="8" t="inlineStr">
        <is>
          <t>COLES SUPERMARKETS GLEN HAWTHORN</t>
        </is>
      </c>
      <c r="C76" s="9" t="n">
        <v>13.9</v>
      </c>
      <c r="D76" s="10" t="inlineStr"/>
      <c r="E76" s="8" t="inlineStr">
        <is>
          <t>VICKI ZERTOPOULOS</t>
        </is>
      </c>
      <c r="F76" s="8" t="inlineStr">
        <is>
          <t>2022-04-22</t>
        </is>
      </c>
      <c r="G76" s="8" t="inlineStr"/>
    </row>
    <row r="77">
      <c r="A77" s="7" t="n">
        <v>44645</v>
      </c>
      <c r="B77" s="8" t="inlineStr">
        <is>
          <t>COLES SUPERMARKETS GLEN HAWTHORN</t>
        </is>
      </c>
      <c r="C77" s="9" t="n">
        <v>15.7</v>
      </c>
      <c r="D77" s="10" t="inlineStr"/>
      <c r="E77" s="8" t="inlineStr">
        <is>
          <t>VICKI ZERTOPOULOS</t>
        </is>
      </c>
      <c r="F77" s="8" t="inlineStr">
        <is>
          <t>2022-04-22</t>
        </is>
      </c>
      <c r="G77" s="8" t="inlineStr"/>
    </row>
    <row r="78">
      <c r="A78" s="7" t="n">
        <v>44645</v>
      </c>
      <c r="B78" s="8" t="inlineStr">
        <is>
          <t>COLES SUPERMARKETS GLEN HAWTHORN</t>
        </is>
      </c>
      <c r="C78" s="9" t="n">
        <v>6</v>
      </c>
      <c r="D78" s="10" t="inlineStr"/>
      <c r="E78" s="8" t="inlineStr">
        <is>
          <t>VICKI ZERTOPOULOS</t>
        </is>
      </c>
      <c r="F78" s="8" t="inlineStr">
        <is>
          <t>2022-04-22</t>
        </is>
      </c>
      <c r="G78" s="8" t="inlineStr"/>
    </row>
    <row r="79">
      <c r="A79" s="7" t="n">
        <v>44653</v>
      </c>
      <c r="B79" s="8" t="inlineStr">
        <is>
          <t>COLES SUPERMARKETS GLEN HAWTHORN</t>
        </is>
      </c>
      <c r="C79" s="9" t="n">
        <v>27.5</v>
      </c>
      <c r="D79" s="10" t="inlineStr"/>
      <c r="E79" s="8" t="inlineStr">
        <is>
          <t>VICKI ZERTOPOULOS</t>
        </is>
      </c>
      <c r="F79" s="8" t="inlineStr">
        <is>
          <t>2022-04-22</t>
        </is>
      </c>
      <c r="G79" s="8" t="inlineStr"/>
    </row>
    <row r="80">
      <c r="A80" s="7" t="n">
        <v>44424</v>
      </c>
      <c r="B80" s="8" t="inlineStr">
        <is>
          <t>COLES VICTORIA GARDENS RICHMOND</t>
        </is>
      </c>
      <c r="C80" s="9" t="n">
        <v>88.65000000000001</v>
      </c>
      <c r="D80" s="10" t="inlineStr"/>
      <c r="E80" s="8" t="inlineStr">
        <is>
          <t>VICKI ZERTOPOULOS</t>
        </is>
      </c>
      <c r="F80" s="8" t="inlineStr">
        <is>
          <t>2021-08-22</t>
        </is>
      </c>
      <c r="G80" s="8" t="inlineStr"/>
    </row>
    <row r="81">
      <c r="A81" s="7" t="n">
        <v>44521</v>
      </c>
      <c r="B81" s="8" t="inlineStr">
        <is>
          <t>COUNTRY ROAD - CAMBERWE CAMBERWELL</t>
        </is>
      </c>
      <c r="C81" s="9" t="n">
        <v>107.4</v>
      </c>
      <c r="D81" s="10" t="inlineStr"/>
      <c r="E81" s="8" t="inlineStr">
        <is>
          <t>VICKI ZERTOPOULOS</t>
        </is>
      </c>
      <c r="F81" s="8" t="inlineStr">
        <is>
          <t>2021-11-22</t>
        </is>
      </c>
      <c r="G81" s="8" t="inlineStr"/>
    </row>
    <row r="82">
      <c r="A82" s="7" t="n">
        <v>44633</v>
      </c>
      <c r="B82" s="8" t="inlineStr">
        <is>
          <t>COUNTRY ROAD - CAMBERWE CAMBERWELL</t>
        </is>
      </c>
      <c r="C82" s="9" t="n">
        <v>54.48</v>
      </c>
      <c r="D82" s="10" t="inlineStr"/>
      <c r="E82" s="8" t="inlineStr">
        <is>
          <t>VICKI ZERTOPOULOS</t>
        </is>
      </c>
      <c r="F82" s="8" t="inlineStr">
        <is>
          <t>2022-03-22</t>
        </is>
      </c>
      <c r="G82" s="8" t="inlineStr"/>
    </row>
    <row r="83">
      <c r="A83" s="7" t="n">
        <v>44514</v>
      </c>
      <c r="B83" s="8" t="inlineStr">
        <is>
          <t>COUNTRY ROAD - CHADSTON CHADSTONE</t>
        </is>
      </c>
      <c r="C83" s="9" t="n">
        <v>109.47</v>
      </c>
      <c r="D83" s="10" t="inlineStr"/>
      <c r="E83" s="8" t="inlineStr">
        <is>
          <t>VICKI ZERTOPOULOS</t>
        </is>
      </c>
      <c r="F83" s="8" t="inlineStr">
        <is>
          <t>2021-11-22</t>
        </is>
      </c>
      <c r="G83" s="8" t="inlineStr"/>
    </row>
    <row r="84">
      <c r="A84" s="7" t="n">
        <v>44514</v>
      </c>
      <c r="B84" s="8" t="inlineStr">
        <is>
          <t>COUNTRY ROAD - CHADSTON CHADSTONE</t>
        </is>
      </c>
      <c r="C84" s="9" t="n">
        <v>14.95</v>
      </c>
      <c r="D84" s="10" t="inlineStr"/>
      <c r="E84" s="8" t="inlineStr">
        <is>
          <t>VICKI ZERTOPOULOS</t>
        </is>
      </c>
      <c r="F84" s="8" t="inlineStr">
        <is>
          <t>2021-11-22</t>
        </is>
      </c>
      <c r="G84" s="8" t="inlineStr"/>
    </row>
    <row r="85">
      <c r="A85" s="7" t="n">
        <v>44605</v>
      </c>
      <c r="B85" s="8" t="inlineStr">
        <is>
          <t>COUNTRY ROAD - CHADSTON CHADSTONE</t>
        </is>
      </c>
      <c r="C85" s="9" t="n">
        <v>167.34</v>
      </c>
      <c r="D85" s="10" t="inlineStr"/>
      <c r="E85" s="8" t="inlineStr">
        <is>
          <t>VICKI ZERTOPOULOS</t>
        </is>
      </c>
      <c r="F85" s="8" t="inlineStr">
        <is>
          <t>2022-02-22</t>
        </is>
      </c>
      <c r="G85" s="8" t="inlineStr"/>
    </row>
    <row r="86">
      <c r="A86" s="7" t="n">
        <v>44682</v>
      </c>
      <c r="B86" s="8" t="inlineStr">
        <is>
          <t>COUNTRY ROAD - CHADSTON CHADSTONE</t>
        </is>
      </c>
      <c r="C86" s="9" t="n">
        <v>179.4</v>
      </c>
      <c r="D86" s="10" t="inlineStr"/>
      <c r="E86" s="8" t="inlineStr">
        <is>
          <t>VICKI ZERTOPOULOS</t>
        </is>
      </c>
      <c r="F86" s="8" t="inlineStr">
        <is>
          <t>2022-05-22</t>
        </is>
      </c>
      <c r="G86" s="8" t="inlineStr"/>
    </row>
    <row r="87">
      <c r="A87" s="7" t="n">
        <v>44511</v>
      </c>
      <c r="B87" s="8" t="inlineStr">
        <is>
          <t>COUNTRY ROAD - DONCASTE DONCASTER</t>
        </is>
      </c>
      <c r="C87" s="9" t="n">
        <v>1797.3</v>
      </c>
      <c r="D87" s="10" t="inlineStr"/>
      <c r="E87" s="8" t="inlineStr">
        <is>
          <t>VICKI ZERTOPOULOS</t>
        </is>
      </c>
      <c r="F87" s="8" t="inlineStr">
        <is>
          <t>2021-11-22</t>
        </is>
      </c>
      <c r="G87" s="8" t="inlineStr"/>
    </row>
    <row r="88">
      <c r="A88" s="7" t="n">
        <v>44511</v>
      </c>
      <c r="B88" s="8" t="inlineStr">
        <is>
          <t>COUNTRY ROAD - DONCASTE DONCASTER</t>
        </is>
      </c>
      <c r="C88" s="9" t="n">
        <v>49.95</v>
      </c>
      <c r="D88" s="10" t="inlineStr"/>
      <c r="E88" s="8" t="inlineStr">
        <is>
          <t>VICKI ZERTOPOULOS</t>
        </is>
      </c>
      <c r="F88" s="8" t="inlineStr">
        <is>
          <t>2021-11-22</t>
        </is>
      </c>
      <c r="G88" s="8" t="inlineStr"/>
    </row>
    <row r="89">
      <c r="A89" s="7" t="n">
        <v>44521</v>
      </c>
      <c r="B89" s="8" t="inlineStr">
        <is>
          <t>COUNTRY ROAD - DONCASTE DONCASTER</t>
        </is>
      </c>
      <c r="C89" s="9" t="n">
        <v>173.82</v>
      </c>
      <c r="D89" s="10" t="inlineStr"/>
      <c r="E89" s="8" t="inlineStr">
        <is>
          <t>VICKI ZERTOPOULOS</t>
        </is>
      </c>
      <c r="F89" s="8" t="inlineStr">
        <is>
          <t>2021-11-22</t>
        </is>
      </c>
      <c r="G89" s="8" t="inlineStr"/>
    </row>
    <row r="90">
      <c r="A90" s="7" t="n">
        <v>44521</v>
      </c>
      <c r="B90" s="8" t="inlineStr">
        <is>
          <t>COUNTRY ROAD - DONCASTE DONCASTER</t>
        </is>
      </c>
      <c r="C90" s="9" t="n">
        <v>299</v>
      </c>
      <c r="D90" s="10" t="inlineStr"/>
      <c r="E90" s="8" t="inlineStr">
        <is>
          <t>VICKI ZERTOPOULOS</t>
        </is>
      </c>
      <c r="F90" s="8" t="inlineStr">
        <is>
          <t>2021-11-22</t>
        </is>
      </c>
      <c r="G90" s="8" t="inlineStr"/>
    </row>
    <row r="91">
      <c r="A91" s="7" t="n">
        <v>44511</v>
      </c>
      <c r="B91" s="8" t="inlineStr">
        <is>
          <t>COUNTRY ROAD EASTLAND RINGWOOD</t>
        </is>
      </c>
      <c r="C91" s="9" t="n">
        <v>53.88</v>
      </c>
      <c r="D91" s="10" t="inlineStr"/>
      <c r="E91" s="8" t="inlineStr">
        <is>
          <t>VICKI ZERTOPOULOS</t>
        </is>
      </c>
      <c r="F91" s="8" t="inlineStr">
        <is>
          <t>2021-11-22</t>
        </is>
      </c>
      <c r="G91" s="8" t="inlineStr"/>
    </row>
    <row r="92">
      <c r="A92" s="7" t="n">
        <v>44513</v>
      </c>
      <c r="B92" s="8" t="inlineStr">
        <is>
          <t>COUNTRY ROAD FRANKSTON FRANKSTON</t>
        </is>
      </c>
      <c r="C92" s="9" t="n">
        <v>62.38</v>
      </c>
      <c r="D92" s="10" t="inlineStr"/>
      <c r="E92" s="8" t="inlineStr">
        <is>
          <t>VICKI ZERTOPOULOS</t>
        </is>
      </c>
      <c r="F92" s="8" t="inlineStr">
        <is>
          <t>2021-11-22</t>
        </is>
      </c>
      <c r="G92" s="8" t="inlineStr"/>
    </row>
    <row r="93">
      <c r="A93" s="7" t="n">
        <v>44557</v>
      </c>
      <c r="B93" s="8" t="inlineStr">
        <is>
          <t>DAVID JONES BOURKE STRE MELBOURNE</t>
        </is>
      </c>
      <c r="C93" s="9" t="n">
        <v>32</v>
      </c>
      <c r="D93" s="10" t="inlineStr"/>
      <c r="E93" s="8" t="inlineStr">
        <is>
          <t>VICKI ZERTOPOULOS</t>
        </is>
      </c>
      <c r="F93" s="8" t="inlineStr">
        <is>
          <t>2022-01-22</t>
        </is>
      </c>
      <c r="G93" s="8" t="inlineStr">
        <is>
          <t>320107002001 Coach 25.00; 320107002001 DISCOUNT 4.00CR; 320107002001 MARKDOWN 5.00CR; 320107002001 Coach 25.00; 320107002001 DISCOUNT 4.00CR; 320107002001 MARKDOWN 5.00CR</t>
        </is>
      </c>
    </row>
    <row r="94">
      <c r="A94" s="7" t="n">
        <v>44557</v>
      </c>
      <c r="B94" s="8" t="inlineStr">
        <is>
          <t>DAVID JONES BOURKE STRE MELBOURNE</t>
        </is>
      </c>
      <c r="C94" s="9" t="n">
        <v>40</v>
      </c>
      <c r="D94" s="10" t="inlineStr"/>
      <c r="E94" s="8" t="inlineStr">
        <is>
          <t>VICKI ZERTOPOULOS</t>
        </is>
      </c>
      <c r="F94" s="8" t="inlineStr">
        <is>
          <t>2022-01-22</t>
        </is>
      </c>
      <c r="G94" s="8" t="inlineStr">
        <is>
          <t>320107001995 Coach 25.00; 320107001995 MARKDOWN 5.00CR; 320107001995 Coach 25.00; 320107001995 MARKDOWN 5.00CR</t>
        </is>
      </c>
    </row>
    <row r="95">
      <c r="A95" s="7" t="n">
        <v>44557</v>
      </c>
      <c r="B95" s="8" t="inlineStr">
        <is>
          <t>DAVID JONES BOURKE STRE MELBOURNE</t>
        </is>
      </c>
      <c r="C95" s="9" t="n">
        <v>416</v>
      </c>
      <c r="D95" s="10" t="inlineStr"/>
      <c r="E95" s="8" t="inlineStr">
        <is>
          <t>VICKI ZERTOPOULOS</t>
        </is>
      </c>
      <c r="F95" s="8" t="inlineStr">
        <is>
          <t>2022-01-22</t>
        </is>
      </c>
      <c r="G95" s="8" t="inlineStr">
        <is>
          <t>3 Months Pay Later 320107001989 Coach 650.00; 320107001989 DISCOUNT 52.00CR; 320107001989 MARKDOWN 390.00CR; 320107001989 Coach 650.00; 320107001989 DISCOUNT 52.00CR; 320107001989 MARKDOWN 390.00CR</t>
        </is>
      </c>
    </row>
    <row r="96">
      <c r="A96" s="7" t="n">
        <v>44580</v>
      </c>
      <c r="B96" s="8" t="inlineStr">
        <is>
          <t>DAVID JONES BOURKE STRE MELBOURNE</t>
        </is>
      </c>
      <c r="C96" s="9" t="n">
        <v>49.84</v>
      </c>
      <c r="D96" s="10" t="inlineStr"/>
      <c r="E96" s="8" t="inlineStr">
        <is>
          <t>VICKI ZERTOPOULOS</t>
        </is>
      </c>
      <c r="F96" s="8" t="inlineStr">
        <is>
          <t>2022-01-22</t>
        </is>
      </c>
      <c r="G96" s="8" t="inlineStr">
        <is>
          <t>320101065449 Womens Mainstre 62.30; 320101065449 DISCOUNT 12.46CR</t>
        </is>
      </c>
    </row>
    <row r="97">
      <c r="A97" s="7" t="n">
        <v>44591</v>
      </c>
      <c r="B97" s="8" t="inlineStr">
        <is>
          <t>DAVID JONES BOURKE STRE MELBOURNE</t>
        </is>
      </c>
      <c r="C97" s="9" t="n">
        <v>47.2</v>
      </c>
      <c r="D97" s="10" t="inlineStr"/>
      <c r="E97" s="8" t="inlineStr">
        <is>
          <t>VICKI ZERTOPOULOS</t>
        </is>
      </c>
      <c r="F97" s="8" t="inlineStr">
        <is>
          <t>2022-02-22</t>
        </is>
      </c>
      <c r="G97" s="8" t="inlineStr">
        <is>
          <t>320100969988 Grown Alchemist 59.00; 320100969988 DISCOUNT 11.80CR</t>
        </is>
      </c>
    </row>
    <row r="98">
      <c r="A98" s="7" t="n">
        <v>44591</v>
      </c>
      <c r="B98" s="8" t="inlineStr">
        <is>
          <t>DAVID JONES BOURKE STRE MELBOURNE</t>
        </is>
      </c>
      <c r="C98" s="9" t="n">
        <v>1260</v>
      </c>
      <c r="D98" s="10" t="inlineStr"/>
      <c r="E98" s="8" t="inlineStr">
        <is>
          <t>VICKI ZERTOPOULOS</t>
        </is>
      </c>
      <c r="F98" s="8" t="inlineStr">
        <is>
          <t>2022-02-22</t>
        </is>
      </c>
      <c r="G98" s="8" t="inlineStr">
        <is>
          <t>3 Months Pay Later 320100383301 Maje 488.00; 320100383301 DISCOUNT 97.60CR; 320100383301 Maje 488.00; 320100383301 DISCOUNT 97.60CR; 320100383301 Aust Designer 599.00; 320100383301 DISCOUNT 119.80CR</t>
        </is>
      </c>
    </row>
    <row r="99">
      <c r="A99" s="7" t="n">
        <v>44591</v>
      </c>
      <c r="B99" s="8" t="inlineStr">
        <is>
          <t>DAVID JONES BOURKE STRE MELBOURNE</t>
        </is>
      </c>
      <c r="C99" s="9" t="n">
        <v>176</v>
      </c>
      <c r="D99" s="10" t="inlineStr"/>
      <c r="E99" s="8" t="inlineStr">
        <is>
          <t>VICKI ZERTOPOULOS</t>
        </is>
      </c>
      <c r="F99" s="8" t="inlineStr">
        <is>
          <t>2022-02-22</t>
        </is>
      </c>
      <c r="G99" s="8" t="inlineStr">
        <is>
          <t>3 Months Pay Later 320100743972 Bobbi Brown 125.00; 320100743972 DISCOUNT 25.00CR; 320100743972 Bobbi Brown 47.00; 320100743972 DISCOUNT 9.40CR; 320100743972 Bobbi Brown 48.00; 320100743972 DISCOUNT 9.60CR</t>
        </is>
      </c>
    </row>
    <row r="100">
      <c r="A100" s="7" t="n">
        <v>44662</v>
      </c>
      <c r="B100" s="8" t="inlineStr">
        <is>
          <t>DAVID JONES BOURKE STRE MELBOURNE</t>
        </is>
      </c>
      <c r="C100" s="9" t="n">
        <v>194.4</v>
      </c>
      <c r="D100" s="10" t="inlineStr"/>
      <c r="E100" s="8" t="inlineStr">
        <is>
          <t>VICKI ZERTOPOULOS</t>
        </is>
      </c>
      <c r="F100" s="8" t="inlineStr">
        <is>
          <t>2022-04-22</t>
        </is>
      </c>
      <c r="G100" s="8" t="inlineStr">
        <is>
          <t>3 Months Pay Later 320100788012 Chanel 55.00; 320100788012 DISCOUNT 11.00CR; 320100788012 Chanel 80.00; 320100788012 DISCOUNT 16.00CR; 320100788012 Chanel 46.00; 320100788012 DISCOUNT 9.20CR; 320100788012 Chanel 62.00; 320100788012 DISCOUNT 12.40CR</t>
        </is>
      </c>
    </row>
    <row r="101">
      <c r="A101" s="7" t="n">
        <v>44662</v>
      </c>
      <c r="B101" s="8" t="inlineStr">
        <is>
          <t>DAVID JONES BOURKE STRE MELBOURNE</t>
        </is>
      </c>
      <c r="C101" s="9" t="n">
        <v>1070</v>
      </c>
      <c r="D101" s="10" t="inlineStr"/>
      <c r="E101" s="8" t="inlineStr">
        <is>
          <t>VICKI ZERTOPOULOS</t>
        </is>
      </c>
      <c r="F101" s="8" t="inlineStr">
        <is>
          <t>2022-04-22</t>
        </is>
      </c>
      <c r="G101" s="8" t="inlineStr">
        <is>
          <t>3 Months Pay Later 320100996365 Saint Laurent 2,070.00; 320100996365 PAYMENT BY OTHER MEANS 1,000.00CR</t>
        </is>
      </c>
    </row>
    <row r="102">
      <c r="A102" s="7" t="n">
        <v>44663</v>
      </c>
      <c r="B102" s="8" t="inlineStr">
        <is>
          <t>DAVID JONES BOURKE STRE MELBOURNE</t>
        </is>
      </c>
      <c r="C102" s="9" t="n">
        <v>580</v>
      </c>
      <c r="D102" s="10" t="inlineStr"/>
      <c r="E102" s="8" t="inlineStr">
        <is>
          <t>VICKI ZERTOPOULOS</t>
        </is>
      </c>
      <c r="F102" s="8" t="inlineStr">
        <is>
          <t>2022-04-22</t>
        </is>
      </c>
      <c r="G102" s="8" t="inlineStr">
        <is>
          <t>3 Months Pay Later 320100967254 Designer Handba 725.00; 320100967254 DISCOUNT 145.00CR</t>
        </is>
      </c>
    </row>
    <row r="103">
      <c r="A103" s="7" t="n">
        <v>44663</v>
      </c>
      <c r="B103" s="8" t="inlineStr">
        <is>
          <t>DAVID JONES BOURKE STRE MELBOURNE</t>
        </is>
      </c>
      <c r="C103" s="9" t="n">
        <v>840</v>
      </c>
      <c r="D103" s="10" t="inlineStr"/>
      <c r="E103" s="8" t="inlineStr">
        <is>
          <t>VICKI ZERTOPOULOS</t>
        </is>
      </c>
      <c r="F103" s="8" t="inlineStr">
        <is>
          <t>2022-04-22</t>
        </is>
      </c>
      <c r="G103" s="8" t="inlineStr">
        <is>
          <t>3 Months Pay Later 320101010195 Valentino 840.00</t>
        </is>
      </c>
    </row>
    <row r="104">
      <c r="A104" s="7" t="n">
        <v>44413</v>
      </c>
      <c r="B104" s="8" t="inlineStr">
        <is>
          <t>DAVID JONES CHADSTONE - CHADSTONE</t>
        </is>
      </c>
      <c r="C104" s="9" t="n">
        <v>22.32</v>
      </c>
      <c r="D104" s="10" t="inlineStr"/>
      <c r="E104" s="8" t="inlineStr">
        <is>
          <t>VICKI ZERTOPOULOS</t>
        </is>
      </c>
      <c r="F104" s="8" t="inlineStr">
        <is>
          <t>2021-08-22</t>
        </is>
      </c>
      <c r="G104" s="8" t="inlineStr">
        <is>
          <t>320600376211 Neckwear/Access 11.96; 320600376211 Neckwear/Access 10.36</t>
        </is>
      </c>
    </row>
    <row r="105">
      <c r="A105" s="7" t="n">
        <v>44413</v>
      </c>
      <c r="B105" s="8" t="inlineStr">
        <is>
          <t>DAVID JONES CHADSTONE - CHADSTONE</t>
        </is>
      </c>
      <c r="C105" s="9" t="n">
        <v>80</v>
      </c>
      <c r="D105" s="10" t="inlineStr"/>
      <c r="E105" s="8" t="inlineStr">
        <is>
          <t>VICKI ZERTOPOULOS</t>
        </is>
      </c>
      <c r="F105" s="8" t="inlineStr">
        <is>
          <t>2021-08-22</t>
        </is>
      </c>
      <c r="G105" s="8" t="inlineStr">
        <is>
          <t>320600480911 Youth 80.00</t>
        </is>
      </c>
    </row>
    <row r="106">
      <c r="A106" s="7" t="n">
        <v>44499</v>
      </c>
      <c r="B106" s="8" t="inlineStr">
        <is>
          <t>DAVID JONES CHADSTONE - CHADSTONE</t>
        </is>
      </c>
      <c r="C106" s="9" t="n">
        <v>60.8</v>
      </c>
      <c r="D106" s="10" t="inlineStr"/>
      <c r="E106" s="8" t="inlineStr">
        <is>
          <t>VICKI ZERTOPOULOS</t>
        </is>
      </c>
      <c r="F106" s="8" t="inlineStr">
        <is>
          <t>2021-11-22</t>
        </is>
      </c>
      <c r="G106" s="8" t="inlineStr">
        <is>
          <t>320600342825 Jewellery 76.00; 320600342825 DISCOUNT 15.20CR</t>
        </is>
      </c>
    </row>
    <row r="107">
      <c r="A107" s="7" t="n">
        <v>44502</v>
      </c>
      <c r="B107" s="8" t="inlineStr">
        <is>
          <t>DAVID JONES CHADSTONE - CHADSTONE</t>
        </is>
      </c>
      <c r="C107" s="9" t="n">
        <v>258.4</v>
      </c>
      <c r="D107" s="10" t="inlineStr"/>
      <c r="E107" s="8" t="inlineStr">
        <is>
          <t>VICKI ZERTOPOULOS</t>
        </is>
      </c>
      <c r="F107" s="8" t="inlineStr">
        <is>
          <t>2021-11-22</t>
        </is>
      </c>
      <c r="G107" s="8" t="inlineStr">
        <is>
          <t>320600264866 Sandro 323.00; 320600264866 DISCOUNT 64.60CR</t>
        </is>
      </c>
    </row>
    <row r="108">
      <c r="A108" s="7" t="n">
        <v>44502</v>
      </c>
      <c r="B108" s="8" t="inlineStr">
        <is>
          <t>DAVID JONES CHADSTONE - CHADSTONE</t>
        </is>
      </c>
      <c r="C108" s="9" t="n">
        <v>496.8</v>
      </c>
      <c r="D108" s="10" t="inlineStr"/>
      <c r="E108" s="8" t="inlineStr">
        <is>
          <t>VICKI ZERTOPOULOS</t>
        </is>
      </c>
      <c r="F108" s="8" t="inlineStr">
        <is>
          <t>2021-11-22</t>
        </is>
      </c>
      <c r="G108" s="8" t="inlineStr">
        <is>
          <t>3 Months Pay Later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Fashion 99.00; 320600483973 DISCOUNT 13.80CR; 320600483973 MARKDOWN 30.00CR; 320600483973 Young Designer 69.00; 320600483973 DISCOUNT 13.80CR</t>
        </is>
      </c>
    </row>
    <row r="109">
      <c r="A109" s="7" t="n">
        <v>44507</v>
      </c>
      <c r="B109" s="8" t="inlineStr">
        <is>
          <t>DAVID JONES CHADSTONE - CHADSTONE</t>
        </is>
      </c>
      <c r="C109" s="9" t="n">
        <v>55</v>
      </c>
      <c r="D109" s="10" t="inlineStr"/>
      <c r="E109" s="8" t="inlineStr">
        <is>
          <t>VICKI ZERTOPOULOS</t>
        </is>
      </c>
      <c r="F109" s="8" t="inlineStr">
        <is>
          <t>2021-11-22</t>
        </is>
      </c>
      <c r="G109" s="8" t="inlineStr">
        <is>
          <t>320600320011 Chanel 55.00</t>
        </is>
      </c>
    </row>
    <row r="110">
      <c r="A110" s="7" t="n">
        <v>44507</v>
      </c>
      <c r="B110" s="8" t="inlineStr">
        <is>
          <t>DAVID JONES CHADSTONE - CHADSTONE</t>
        </is>
      </c>
      <c r="C110" s="9" t="n">
        <v>44</v>
      </c>
      <c r="D110" s="10" t="inlineStr"/>
      <c r="E110" s="8" t="inlineStr">
        <is>
          <t>VICKI ZERTOPOULOS</t>
        </is>
      </c>
      <c r="F110" s="8" t="inlineStr">
        <is>
          <t>2021-11-22</t>
        </is>
      </c>
      <c r="G110" s="8" t="inlineStr">
        <is>
          <t>320600320017 Chanel 55.00; 320600320017 DISCOUNT 11.00CR</t>
        </is>
      </c>
    </row>
    <row r="111">
      <c r="A111" s="7" t="n">
        <v>44556</v>
      </c>
      <c r="B111" s="8" t="inlineStr">
        <is>
          <t>DAVID JONES CHADSTONE - CHADSTONE</t>
        </is>
      </c>
      <c r="C111" s="9" t="n">
        <v>215.28</v>
      </c>
      <c r="D111" s="10" t="inlineStr"/>
      <c r="E111" s="8" t="inlineStr">
        <is>
          <t>VICKI ZERTOPOULOS</t>
        </is>
      </c>
      <c r="F111" s="8" t="inlineStr">
        <is>
          <t>2022-01-22</t>
        </is>
      </c>
      <c r="G111" s="8" t="inlineStr">
        <is>
          <t>320600577358 Womens Contemp 269.10; 320600577358 DISCOUNT 53.82CR</t>
        </is>
      </c>
    </row>
    <row r="112">
      <c r="A112" s="7" t="n">
        <v>44556</v>
      </c>
      <c r="B112" s="8" t="inlineStr">
        <is>
          <t>DAVID JONES CHADSTONE - CHADSTONE</t>
        </is>
      </c>
      <c r="C112" s="9" t="n">
        <v>49.68</v>
      </c>
      <c r="D112" s="10" t="inlineStr"/>
      <c r="E112" s="8" t="inlineStr">
        <is>
          <t>VICKI ZERTOPOULOS</t>
        </is>
      </c>
      <c r="F112" s="8" t="inlineStr">
        <is>
          <t>2022-01-22</t>
        </is>
      </c>
      <c r="G112" s="8" t="inlineStr">
        <is>
          <t>320600376535 Jewellery 62.10; 320600376535 DISCOUNT 12.42CR</t>
        </is>
      </c>
    </row>
    <row r="113">
      <c r="A113" s="7" t="n">
        <v>44556</v>
      </c>
      <c r="B113" s="8" t="inlineStr">
        <is>
          <t>DAVID JONES CHADSTONE - CHADSTONE</t>
        </is>
      </c>
      <c r="C113" s="9" t="n">
        <v>139.28</v>
      </c>
      <c r="D113" s="10" t="inlineStr"/>
      <c r="E113" s="8" t="inlineStr">
        <is>
          <t>VICKI ZERTOPOULOS</t>
        </is>
      </c>
      <c r="F113" s="8" t="inlineStr">
        <is>
          <t>2022-01-22</t>
        </is>
      </c>
      <c r="G113" s="8" t="inlineStr">
        <is>
          <t>3 Months Pay Later 320600562360 Comfort Shoes 89.10; 320600562360 DISCOUNT 17.82CR; 320600562360 Kurt Geiger 85.00; 320600562360 DISCOUNT 17.00CR</t>
        </is>
      </c>
    </row>
    <row r="114">
      <c r="A114" s="7" t="n">
        <v>44557</v>
      </c>
      <c r="B114" s="8" t="inlineStr">
        <is>
          <t>DAVID JONES CHADSTONE - CHADSTONE</t>
        </is>
      </c>
      <c r="C114" s="9" t="n">
        <v>43.17</v>
      </c>
      <c r="D114" s="10" t="inlineStr"/>
      <c r="E114" s="8" t="inlineStr">
        <is>
          <t>VICKI ZERTOPOULOS</t>
        </is>
      </c>
      <c r="F114" s="8" t="inlineStr">
        <is>
          <t>2022-01-22</t>
        </is>
      </c>
      <c r="G114" s="8" t="inlineStr">
        <is>
          <t>3 Months Pay Later 320600424555 Marcs 79.95; 320600424555 DISCOUNT 10.79CR; 320600424555 MARKDOWN 25.99CR</t>
        </is>
      </c>
    </row>
    <row r="115">
      <c r="A115" s="7" t="n">
        <v>44557</v>
      </c>
      <c r="B115" s="8" t="inlineStr">
        <is>
          <t>DAVID JONES CHADSTONE - CHADSTONE</t>
        </is>
      </c>
      <c r="C115" s="9" t="n">
        <v>37.26</v>
      </c>
      <c r="D115" s="10" t="inlineStr"/>
      <c r="E115" s="8" t="inlineStr">
        <is>
          <t>VICKI ZERTOPOULOS</t>
        </is>
      </c>
      <c r="F115" s="8" t="inlineStr">
        <is>
          <t>2022-01-22</t>
        </is>
      </c>
      <c r="G115" s="8" t="inlineStr">
        <is>
          <t>3 Months Pay Later 320600424558 Marcs 69.00; 320600424558 DISCOUNT 9.31CR; 320600424558 MARKDOWN 22.43CR</t>
        </is>
      </c>
    </row>
    <row r="116">
      <c r="A116" s="7" t="n">
        <v>44561</v>
      </c>
      <c r="B116" s="8" t="inlineStr">
        <is>
          <t>DAVID JONES CHADSTONE - CHADSTONE</t>
        </is>
      </c>
      <c r="C116" s="9" t="n">
        <v>63.2</v>
      </c>
      <c r="D116" s="10" t="inlineStr"/>
      <c r="E116" s="8" t="inlineStr">
        <is>
          <t>VICKI ZERTOPOULOS</t>
        </is>
      </c>
      <c r="F116" s="8" t="inlineStr">
        <is>
          <t>2022-01-22</t>
        </is>
      </c>
      <c r="G116" s="8" t="inlineStr">
        <is>
          <t>320600323838 Chanel 79.00; 320600323838 DISCOUNT 15.80CR</t>
        </is>
      </c>
    </row>
    <row r="117">
      <c r="A117" s="7" t="n">
        <v>44385</v>
      </c>
      <c r="B117" s="8" t="inlineStr">
        <is>
          <t>DAVID JONES DONCASTER - DONCASTER</t>
        </is>
      </c>
      <c r="C117" s="9" t="n">
        <v>125</v>
      </c>
      <c r="D117" s="10" t="inlineStr"/>
      <c r="E117" s="8" t="inlineStr">
        <is>
          <t>VICKI ZERTOPOULOS</t>
        </is>
      </c>
      <c r="F117" s="8" t="inlineStr">
        <is>
          <t>2021-07-22</t>
        </is>
      </c>
      <c r="G117" s="8" t="inlineStr">
        <is>
          <t>320803394162 Chanel 79.00; 320803394162 Chanel 46.00</t>
        </is>
      </c>
    </row>
    <row r="118">
      <c r="A118" s="7" t="n">
        <v>44505</v>
      </c>
      <c r="B118" s="8" t="inlineStr">
        <is>
          <t>DAVID JONES DONCASTER - DONCASTER</t>
        </is>
      </c>
      <c r="C118" s="9" t="n">
        <v>175.16</v>
      </c>
      <c r="D118" s="10" t="inlineStr"/>
      <c r="E118" s="8" t="inlineStr">
        <is>
          <t>VICKI ZERTOPOULOS</t>
        </is>
      </c>
      <c r="F118" s="8" t="inlineStr">
        <is>
          <t>2021-11-22</t>
        </is>
      </c>
      <c r="G118" s="8" t="inlineStr">
        <is>
          <t>320803346916 Boys Contempora 34.99; 320803346916 DISCOUNT 7.00CR; 320803346916 Child Undwr 10.00; 320803346916 DISCOUNT 2.00CR; 320803346916 Boys Contempora 54.99; 320803346916 DISCOUNT 11.00CR; 320803346916 Boys Contempora 19.00; 320803346916 DISCOUNT 3.80CR; 320803346916 Boys Contempora 29.99; 320803346916 DISCOUNT 6.00CR; 320803346916 Boys Contempora 34.99; 320803346916 DISCOUNT 7.00CR; 320803346916 Boys Contempora 34.99; 320803346916 DISCOUNT 6.99CR</t>
        </is>
      </c>
    </row>
    <row r="119">
      <c r="A119" s="7" t="n">
        <v>44505</v>
      </c>
      <c r="B119" s="8" t="inlineStr">
        <is>
          <t>DAVID JONES DONCASTER - DONCASTER</t>
        </is>
      </c>
      <c r="C119" s="9" t="n">
        <v>95.90000000000001</v>
      </c>
      <c r="D119" s="10" t="inlineStr"/>
      <c r="E119" s="8" t="inlineStr">
        <is>
          <t>VICKI ZERTOPOULOS</t>
        </is>
      </c>
      <c r="F119" s="8" t="inlineStr">
        <is>
          <t>2021-11-22</t>
        </is>
      </c>
      <c r="G119" s="8" t="inlineStr">
        <is>
          <t>320803442904 Sapphire Group 39.96; 320803442904 DISCOUNT 7.99CR; 320803442904 Sapphire Group 39.96; 320803442904 DISCOUNT 7.99CR; 320803442904 Sapphire Group 39.96; 320803442904 DISCOUNT 8.00CR</t>
        </is>
      </c>
    </row>
    <row r="120">
      <c r="A120" s="7" t="n">
        <v>44520</v>
      </c>
      <c r="B120" s="8" t="inlineStr">
        <is>
          <t>DAVID JONES DONCASTER - DONCASTER</t>
        </is>
      </c>
      <c r="C120" s="9" t="n">
        <v>38.4</v>
      </c>
      <c r="D120" s="10" t="inlineStr"/>
      <c r="E120" s="8" t="inlineStr">
        <is>
          <t>VICKI ZERTOPOULOS</t>
        </is>
      </c>
      <c r="F120" s="8" t="inlineStr">
        <is>
          <t>2021-11-22</t>
        </is>
      </c>
      <c r="G120" s="8" t="inlineStr">
        <is>
          <t>320803391092 Chanel 48.00; 320803391092 DISCOUNT 9.60CR</t>
        </is>
      </c>
    </row>
    <row r="121">
      <c r="A121" s="7" t="n">
        <v>44603</v>
      </c>
      <c r="B121" s="8" t="inlineStr">
        <is>
          <t>DAVID JONES DONCASTER - DONCASTER</t>
        </is>
      </c>
      <c r="C121" s="9" t="n">
        <v>46.4</v>
      </c>
      <c r="D121" s="10" t="inlineStr"/>
      <c r="E121" s="8" t="inlineStr">
        <is>
          <t>VICKI ZERTOPOULOS</t>
        </is>
      </c>
      <c r="F121" s="8" t="inlineStr">
        <is>
          <t>2022-02-22</t>
        </is>
      </c>
      <c r="G121" s="8" t="inlineStr">
        <is>
          <t>320803395275 Chanel 58.00; 320803395275 DISCOUNT 11.60CR</t>
        </is>
      </c>
    </row>
    <row r="122">
      <c r="A122" s="7" t="n">
        <v>44441</v>
      </c>
      <c r="B122" s="8" t="inlineStr">
        <is>
          <t>DAVID JONES ONLINE - GP ARTARMON</t>
        </is>
      </c>
      <c r="C122" s="9" t="n">
        <v>231.2</v>
      </c>
      <c r="D122" s="10" t="inlineStr"/>
      <c r="E122" s="8" t="inlineStr">
        <is>
          <t>VICKI ZERTOPOULOS</t>
        </is>
      </c>
      <c r="F122" s="8" t="inlineStr">
        <is>
          <t>2021-09-22</t>
        </is>
      </c>
      <c r="G122" s="8" t="inlineStr"/>
    </row>
    <row r="123">
      <c r="A123" s="7" t="n">
        <v>44442</v>
      </c>
      <c r="B123" s="8" t="inlineStr">
        <is>
          <t>DAVID JONES ONLINE - GP ARTARMON</t>
        </is>
      </c>
      <c r="C123" s="9" t="n">
        <v>583.76</v>
      </c>
      <c r="D123" s="10" t="inlineStr"/>
      <c r="E123" s="8" t="inlineStr">
        <is>
          <t>VICKI ZERTOPOULOS</t>
        </is>
      </c>
      <c r="F123" s="8" t="inlineStr">
        <is>
          <t>2021-09-22</t>
        </is>
      </c>
      <c r="G123" s="8" t="inlineStr"/>
    </row>
    <row r="124">
      <c r="A124" s="7" t="n">
        <v>44445</v>
      </c>
      <c r="B124" s="8" t="inlineStr">
        <is>
          <t>DAVID JONES ONLINE - GP ARTARMON</t>
        </is>
      </c>
      <c r="C124" s="9" t="n">
        <v>46.4</v>
      </c>
      <c r="D124" s="10" t="inlineStr"/>
      <c r="E124" s="8" t="inlineStr">
        <is>
          <t>VICKI ZERTOPOULOS</t>
        </is>
      </c>
      <c r="F124" s="8" t="inlineStr">
        <is>
          <t>2021-09-22</t>
        </is>
      </c>
      <c r="G124" s="8" t="inlineStr"/>
    </row>
    <row r="125">
      <c r="A125" s="7" t="n">
        <v>44459</v>
      </c>
      <c r="B125" s="8" t="inlineStr">
        <is>
          <t>DAVID JONES ONLINE - GP ARTARMON</t>
        </is>
      </c>
      <c r="C125" s="9" t="n">
        <v>206.34</v>
      </c>
      <c r="D125" s="10" t="inlineStr"/>
      <c r="E125" s="8" t="inlineStr">
        <is>
          <t>VICKI ZERTOPOULOS</t>
        </is>
      </c>
      <c r="F125" s="8" t="inlineStr">
        <is>
          <t>2021-09-22</t>
        </is>
      </c>
      <c r="G125" s="8" t="inlineStr"/>
    </row>
    <row r="126">
      <c r="A126" s="7" t="n">
        <v>44466</v>
      </c>
      <c r="B126" s="8" t="inlineStr">
        <is>
          <t>DAVID JONES ONLINE - GP ARTARMON</t>
        </is>
      </c>
      <c r="C126" s="9" t="n">
        <v>55.96</v>
      </c>
      <c r="D126" s="10" t="inlineStr"/>
      <c r="E126" s="8" t="inlineStr">
        <is>
          <t>VICKI ZERTOPOULOS</t>
        </is>
      </c>
      <c r="F126" s="8" t="inlineStr">
        <is>
          <t>2021-10-22</t>
        </is>
      </c>
      <c r="G126" s="8" t="inlineStr"/>
    </row>
    <row r="127">
      <c r="A127" s="7" t="n">
        <v>44508</v>
      </c>
      <c r="B127" s="8" t="inlineStr">
        <is>
          <t>DAVID JONES ONLINE - GP ARTARMON</t>
        </is>
      </c>
      <c r="C127" s="9" t="n">
        <v>81.27</v>
      </c>
      <c r="D127" s="10" t="inlineStr"/>
      <c r="E127" s="8" t="inlineStr">
        <is>
          <t>VICKI ZERTOPOULOS</t>
        </is>
      </c>
      <c r="F127" s="8" t="inlineStr">
        <is>
          <t>2021-11-22</t>
        </is>
      </c>
      <c r="G127" s="8" t="inlineStr"/>
    </row>
    <row r="128">
      <c r="A128" s="7" t="n">
        <v>44650</v>
      </c>
      <c r="B128" s="8" t="inlineStr">
        <is>
          <t>DAVID JONES ONLINE - GP ARTARMON</t>
        </is>
      </c>
      <c r="C128" s="9" t="n">
        <v>843.52</v>
      </c>
      <c r="D128" s="10" t="inlineStr"/>
      <c r="E128" s="8" t="inlineStr">
        <is>
          <t>VICKI ZERTOPOULOS</t>
        </is>
      </c>
      <c r="F128" s="8" t="inlineStr">
        <is>
          <t>2022-04-22</t>
        </is>
      </c>
      <c r="G128" s="8" t="inlineStr"/>
    </row>
    <row r="129">
      <c r="A129" s="7" t="n">
        <v>44658</v>
      </c>
      <c r="B129" s="8" t="inlineStr">
        <is>
          <t>DAVID JONES ONLINE - GP ARTARMON</t>
        </is>
      </c>
      <c r="C129" s="9" t="n">
        <v>150.39</v>
      </c>
      <c r="D129" s="10" t="inlineStr"/>
      <c r="E129" s="8" t="inlineStr">
        <is>
          <t>VICKI ZERTOPOULOS</t>
        </is>
      </c>
      <c r="F129" s="8" t="inlineStr">
        <is>
          <t>2022-04-22</t>
        </is>
      </c>
      <c r="G129" s="8" t="inlineStr"/>
    </row>
    <row r="130">
      <c r="A130" s="7" t="n">
        <v>44694</v>
      </c>
      <c r="B130" s="8" t="inlineStr">
        <is>
          <t>DAVID JONES ONLINE - GP ARTARMON</t>
        </is>
      </c>
      <c r="C130" s="9" t="n">
        <v>398.71</v>
      </c>
      <c r="D130" s="10" t="inlineStr"/>
      <c r="E130" s="8" t="inlineStr">
        <is>
          <t>VICKI ZERTOPOULOS</t>
        </is>
      </c>
      <c r="F130" s="8" t="inlineStr">
        <is>
          <t>2022-05-22</t>
        </is>
      </c>
      <c r="G130" s="8" t="inlineStr"/>
    </row>
    <row r="131">
      <c r="A131" s="7" t="n">
        <v>44409</v>
      </c>
      <c r="B131" s="8" t="inlineStr">
        <is>
          <t>EASTERN MOUNTAIN CENTRE DEEPDENE</t>
        </is>
      </c>
      <c r="C131" s="9" t="n">
        <v>1304.75</v>
      </c>
      <c r="D131" s="10" t="inlineStr"/>
      <c r="E131" s="8" t="inlineStr">
        <is>
          <t>VICKI ZERTOPOULOS</t>
        </is>
      </c>
      <c r="F131" s="8" t="inlineStr">
        <is>
          <t>2021-08-22</t>
        </is>
      </c>
      <c r="G131" s="8" t="inlineStr"/>
    </row>
    <row r="132">
      <c r="A132" s="7" t="n">
        <v>44504</v>
      </c>
      <c r="B132" s="8" t="inlineStr">
        <is>
          <t>FRANKSTON CENTRAL POST FRANKSTON</t>
        </is>
      </c>
      <c r="C132" s="9" t="n">
        <v>9.02</v>
      </c>
      <c r="D132" s="10" t="inlineStr"/>
      <c r="E132" s="8" t="inlineStr">
        <is>
          <t>VICKI ZERTOPOULOS</t>
        </is>
      </c>
      <c r="F132" s="8" t="inlineStr">
        <is>
          <t>2021-11-22</t>
        </is>
      </c>
      <c r="G132" s="8" t="inlineStr"/>
    </row>
    <row r="133">
      <c r="A133" s="7" t="n">
        <v>44591</v>
      </c>
      <c r="B133" s="8" t="inlineStr">
        <is>
          <t>JB HI FI BOURKE STREET MELBOURNE</t>
        </is>
      </c>
      <c r="C133" s="9" t="n">
        <v>296.95</v>
      </c>
      <c r="D133" s="10" t="inlineStr"/>
      <c r="E133" s="8" t="inlineStr">
        <is>
          <t>VICKI ZERTOPOULOS</t>
        </is>
      </c>
      <c r="F133" s="8" t="inlineStr">
        <is>
          <t>2022-02-22</t>
        </is>
      </c>
      <c r="G133" s="8" t="inlineStr"/>
    </row>
    <row r="134">
      <c r="A134" s="7" t="n">
        <v>44383</v>
      </c>
      <c r="B134" s="8" t="inlineStr">
        <is>
          <t>KATHMANDU - DONCASTER DONCASTER</t>
        </is>
      </c>
      <c r="C134" s="9" t="n">
        <v>99.98</v>
      </c>
      <c r="D134" s="10" t="inlineStr"/>
      <c r="E134" s="8" t="inlineStr">
        <is>
          <t>VICKI ZERTOPOULOS</t>
        </is>
      </c>
      <c r="F134" s="8" t="inlineStr">
        <is>
          <t>2021-07-22</t>
        </is>
      </c>
      <c r="G134" s="8" t="inlineStr"/>
    </row>
    <row r="135">
      <c r="A135" s="7" t="n">
        <v>44444</v>
      </c>
      <c r="B135" s="8" t="inlineStr">
        <is>
          <t>LEAF HAWTHORN HAWTHORN</t>
        </is>
      </c>
      <c r="C135" s="9" t="n">
        <v>4.65</v>
      </c>
      <c r="D135" s="10" t="inlineStr"/>
      <c r="E135" s="8" t="inlineStr">
        <is>
          <t>VICKI ZERTOPOULOS</t>
        </is>
      </c>
      <c r="F135" s="8" t="inlineStr">
        <is>
          <t>2021-09-22</t>
        </is>
      </c>
      <c r="G135" s="8" t="inlineStr"/>
    </row>
    <row r="136">
      <c r="A136" s="7" t="n">
        <v>44674</v>
      </c>
      <c r="B136" s="8" t="inlineStr">
        <is>
          <t>MAGSHOP MAGSHOP SYDNEY</t>
        </is>
      </c>
      <c r="C136" s="9" t="n">
        <v>64.98999999999999</v>
      </c>
      <c r="D136" s="10" t="inlineStr"/>
      <c r="E136" s="8" t="inlineStr">
        <is>
          <t>VICKI ZERTOPOULOS</t>
        </is>
      </c>
      <c r="F136" s="8" t="inlineStr">
        <is>
          <t>2022-05-22</t>
        </is>
      </c>
      <c r="G136" s="8" t="inlineStr"/>
    </row>
    <row r="137">
      <c r="A137" s="7" t="n">
        <v>44436</v>
      </c>
      <c r="B137" s="8" t="inlineStr">
        <is>
          <t>MEETUP ORG SUB 6M NEW YORK</t>
        </is>
      </c>
      <c r="C137" s="9" t="n">
        <v>154.99</v>
      </c>
      <c r="D137" s="10" t="inlineStr"/>
      <c r="E137" s="8" t="inlineStr">
        <is>
          <t>VICKI ZERTOPOULOS</t>
        </is>
      </c>
      <c r="F137" s="8" t="inlineStr">
        <is>
          <t>2021-09-22</t>
        </is>
      </c>
      <c r="G137" s="8" t="inlineStr">
        <is>
          <t>AUD 154.99 includes conversion commission of AUD 4.51</t>
        </is>
      </c>
    </row>
    <row r="138">
      <c r="A138" s="7" t="n">
        <v>44620</v>
      </c>
      <c r="B138" s="8" t="inlineStr">
        <is>
          <t>MEETUP ORG SUB 6M NEW YORK</t>
        </is>
      </c>
      <c r="C138" s="9" t="n">
        <v>156.07</v>
      </c>
      <c r="D138" s="10" t="inlineStr"/>
      <c r="E138" s="8" t="inlineStr">
        <is>
          <t>VICKI ZERTOPOULOS</t>
        </is>
      </c>
      <c r="F138" s="8" t="inlineStr">
        <is>
          <t>2022-03-22</t>
        </is>
      </c>
      <c r="G138" s="8" t="inlineStr">
        <is>
          <t>AUD 156.07 includes conversion commission of AUD 4.55</t>
        </is>
      </c>
    </row>
    <row r="139">
      <c r="A139" s="7" t="n">
        <v>44678</v>
      </c>
      <c r="B139" s="8" t="inlineStr">
        <is>
          <t>PAYPAL *BELLHARR 4029357733</t>
        </is>
      </c>
      <c r="C139" s="9" t="n">
        <v>10.13</v>
      </c>
      <c r="D139" s="10" t="inlineStr"/>
      <c r="E139" s="8" t="inlineStr">
        <is>
          <t>VICKI ZERTOPOULOS</t>
        </is>
      </c>
      <c r="F139" s="8" t="inlineStr">
        <is>
          <t>2022-05-22</t>
        </is>
      </c>
      <c r="G139" s="8" t="inlineStr">
        <is>
          <t>AUD 10.13 includes conversion commission of AUD .30; offers, or wish to change the address, name or phone number conversion commission of 3.00%. Any Charges converted by third parties prior to being</t>
        </is>
      </c>
    </row>
    <row r="140">
      <c r="A140" s="7" t="n">
        <v>44678</v>
      </c>
      <c r="B140" s="8" t="inlineStr">
        <is>
          <t>PAYPAL *BELLHARR 4029357733</t>
        </is>
      </c>
      <c r="C140" s="9" t="n">
        <v>39.16</v>
      </c>
      <c r="D140" s="10" t="inlineStr"/>
      <c r="E140" s="8" t="inlineStr">
        <is>
          <t>VICKI ZERTOPOULOS</t>
        </is>
      </c>
      <c r="F140" s="8" t="inlineStr">
        <is>
          <t>2022-05-22</t>
        </is>
      </c>
      <c r="G140" s="8" t="inlineStr">
        <is>
          <t>AUD 39.16 includes conversion commission of AUD 1.14</t>
        </is>
      </c>
    </row>
    <row r="141">
      <c r="A141" s="7" t="n">
        <v>44700</v>
      </c>
      <c r="B141" s="8" t="inlineStr">
        <is>
          <t>PAYPAL *BELLHARR 4029357733</t>
        </is>
      </c>
      <c r="C141" s="9" t="n">
        <v>427.93</v>
      </c>
      <c r="D141" s="10" t="inlineStr"/>
      <c r="E141" s="8" t="inlineStr">
        <is>
          <t>VICKI ZERTOPOULOS</t>
        </is>
      </c>
      <c r="F141" s="8" t="inlineStr">
        <is>
          <t>2022-05-22</t>
        </is>
      </c>
      <c r="G141" s="8" t="inlineStr">
        <is>
          <t>AUD 427.93 includes conversion commission of AUD 12.46</t>
        </is>
      </c>
    </row>
    <row r="142">
      <c r="A142" s="7" t="n">
        <v>44700</v>
      </c>
      <c r="B142" s="8" t="inlineStr">
        <is>
          <t>PAYPAL *BELLHARR 4029357733</t>
        </is>
      </c>
      <c r="C142" s="9" t="n">
        <v>26.65</v>
      </c>
      <c r="D142" s="10" t="inlineStr"/>
      <c r="E142" s="8" t="inlineStr">
        <is>
          <t>VICKI ZERTOPOULOS</t>
        </is>
      </c>
      <c r="F142" s="8" t="inlineStr">
        <is>
          <t>2022-05-22</t>
        </is>
      </c>
      <c r="G142" s="8" t="inlineStr">
        <is>
          <t>AUD 26.65 includes conversion commission of AUD .78</t>
        </is>
      </c>
    </row>
    <row r="143">
      <c r="A143" s="7" t="n">
        <v>44399</v>
      </c>
      <c r="B143" s="8" t="inlineStr">
        <is>
          <t>PAYPAL *BIG W 01300244999</t>
        </is>
      </c>
      <c r="C143" s="9" t="n">
        <v>207</v>
      </c>
      <c r="D143" s="10" t="inlineStr"/>
      <c r="E143" s="8" t="inlineStr">
        <is>
          <t>VICKI ZERTOPOULOS</t>
        </is>
      </c>
      <c r="F143" s="8" t="inlineStr">
        <is>
          <t>2021-08-22</t>
        </is>
      </c>
      <c r="G143" s="8" t="inlineStr"/>
    </row>
    <row r="144">
      <c r="A144" s="7" t="n">
        <v>44432</v>
      </c>
      <c r="B144" s="8" t="inlineStr">
        <is>
          <t>PAYPAL *BIG W 01300244999</t>
        </is>
      </c>
      <c r="C144" s="9" t="n">
        <v>19</v>
      </c>
      <c r="D144" s="10" t="inlineStr"/>
      <c r="E144" s="8" t="inlineStr">
        <is>
          <t>VICKI ZERTOPOULOS</t>
        </is>
      </c>
      <c r="F144" s="8" t="inlineStr">
        <is>
          <t>2021-09-22</t>
        </is>
      </c>
      <c r="G144" s="8" t="inlineStr"/>
    </row>
    <row r="145">
      <c r="A145" s="7" t="n">
        <v>44549</v>
      </c>
      <c r="B145" s="8" t="inlineStr">
        <is>
          <t>PAYPAL *BIG W 01300244999</t>
        </is>
      </c>
      <c r="C145" s="9" t="n">
        <v>60</v>
      </c>
      <c r="D145" s="10" t="inlineStr"/>
      <c r="E145" s="8" t="inlineStr">
        <is>
          <t>VICKI ZERTOPOULOS</t>
        </is>
      </c>
      <c r="F145" s="8" t="inlineStr">
        <is>
          <t>2021-12-22</t>
        </is>
      </c>
      <c r="G145" s="8" t="inlineStr"/>
    </row>
    <row r="146">
      <c r="A146" s="7" t="n">
        <v>44592</v>
      </c>
      <c r="B146" s="8" t="inlineStr">
        <is>
          <t>PAYPAL *BIG W 01300244999</t>
        </is>
      </c>
      <c r="C146" s="9" t="n">
        <v>65.90000000000001</v>
      </c>
      <c r="D146" s="10" t="inlineStr"/>
      <c r="E146" s="8" t="inlineStr">
        <is>
          <t>VICKI ZERTOPOULOS</t>
        </is>
      </c>
      <c r="F146" s="8" t="inlineStr">
        <is>
          <t>2022-02-22</t>
        </is>
      </c>
      <c r="G146" s="8" t="inlineStr"/>
    </row>
    <row r="147">
      <c r="A147" s="7" t="n">
        <v>44621</v>
      </c>
      <c r="B147" s="8" t="inlineStr">
        <is>
          <t>PAYPAL *BIG W 01300244999</t>
        </is>
      </c>
      <c r="C147" s="9" t="n">
        <v>50</v>
      </c>
      <c r="D147" s="10" t="inlineStr"/>
      <c r="E147" s="8" t="inlineStr">
        <is>
          <t>VICKI ZERTOPOULOS</t>
        </is>
      </c>
      <c r="F147" s="8" t="inlineStr">
        <is>
          <t>2022-03-22</t>
        </is>
      </c>
      <c r="G147" s="8" t="inlineStr"/>
    </row>
    <row r="148">
      <c r="A148" s="7" t="n">
        <v>44382</v>
      </c>
      <c r="B148" s="8" t="inlineStr">
        <is>
          <t>PAYPAL *COLESSUPERM 01800455400</t>
        </is>
      </c>
      <c r="C148" s="9" t="n">
        <v>170.02</v>
      </c>
      <c r="D148" s="10" t="inlineStr"/>
      <c r="E148" s="8" t="inlineStr">
        <is>
          <t>VICKI ZERTOPOULOS</t>
        </is>
      </c>
      <c r="F148" s="8" t="inlineStr">
        <is>
          <t>2021-07-22</t>
        </is>
      </c>
      <c r="G148" s="8" t="inlineStr"/>
    </row>
    <row r="149">
      <c r="A149" s="7" t="n">
        <v>44503</v>
      </c>
      <c r="B149" s="8" t="inlineStr">
        <is>
          <t>PAYPAL *COLESSUPERM 01800455400</t>
        </is>
      </c>
      <c r="C149" s="9" t="n">
        <v>271.72</v>
      </c>
      <c r="D149" s="10" t="inlineStr"/>
      <c r="E149" s="8" t="inlineStr">
        <is>
          <t>VICKI ZERTOPOULOS</t>
        </is>
      </c>
      <c r="F149" s="8" t="inlineStr">
        <is>
          <t>2021-11-22</t>
        </is>
      </c>
      <c r="G149" s="8" t="inlineStr"/>
    </row>
    <row r="150">
      <c r="A150" s="7" t="n">
        <v>44510</v>
      </c>
      <c r="B150" s="8" t="inlineStr">
        <is>
          <t>PAYPAL *COUNTRYROAD 0383607074</t>
        </is>
      </c>
      <c r="C150" s="9" t="n">
        <v>224.47</v>
      </c>
      <c r="D150" s="10" t="inlineStr"/>
      <c r="E150" s="8" t="inlineStr">
        <is>
          <t>VICKI ZERTOPOULOS</t>
        </is>
      </c>
      <c r="F150" s="8" t="inlineStr">
        <is>
          <t>2021-11-22</t>
        </is>
      </c>
      <c r="G150" s="8" t="inlineStr"/>
    </row>
    <row r="151">
      <c r="A151" s="7" t="n">
        <v>44511</v>
      </c>
      <c r="B151" s="8" t="inlineStr">
        <is>
          <t>PAYPAL *COUNTRYROAD 0383607074</t>
        </is>
      </c>
      <c r="C151" s="9" t="n">
        <v>284.35</v>
      </c>
      <c r="D151" s="10" t="inlineStr"/>
      <c r="E151" s="8" t="inlineStr">
        <is>
          <t>VICKI ZERTOPOULOS</t>
        </is>
      </c>
      <c r="F151" s="8" t="inlineStr">
        <is>
          <t>2021-11-22</t>
        </is>
      </c>
      <c r="G151" s="8" t="inlineStr"/>
    </row>
    <row r="152">
      <c r="A152" s="7" t="n">
        <v>44682</v>
      </c>
      <c r="B152" s="8" t="inlineStr">
        <is>
          <t>PAYPAL *COUNTRYROAD 0383607074</t>
        </is>
      </c>
      <c r="C152" s="9" t="n">
        <v>179.4</v>
      </c>
      <c r="D152" s="10" t="inlineStr"/>
      <c r="E152" s="8" t="inlineStr">
        <is>
          <t>VICKI ZERTOPOULOS</t>
        </is>
      </c>
      <c r="F152" s="8" t="inlineStr">
        <is>
          <t>2022-05-22</t>
        </is>
      </c>
      <c r="G152" s="8" t="inlineStr"/>
    </row>
    <row r="153">
      <c r="A153" s="7" t="n">
        <v>44381</v>
      </c>
      <c r="B153" s="8" t="inlineStr">
        <is>
          <t>PAYPAL *DONNA CAMERON 0407828362</t>
        </is>
      </c>
      <c r="C153" s="9" t="n">
        <v>184.51</v>
      </c>
      <c r="D153" s="10" t="inlineStr"/>
      <c r="E153" s="8" t="inlineStr">
        <is>
          <t>VICKI ZERTOPOULOS</t>
        </is>
      </c>
      <c r="F153" s="8" t="inlineStr">
        <is>
          <t>2021-07-22</t>
        </is>
      </c>
      <c r="G153" s="8" t="inlineStr"/>
    </row>
    <row r="154">
      <c r="A154" s="7" t="n">
        <v>44401</v>
      </c>
      <c r="B154" s="8" t="inlineStr">
        <is>
          <t>PAYPAL *PADDLE.COM 02038794714</t>
        </is>
      </c>
      <c r="C154" s="9" t="n">
        <v>23.04</v>
      </c>
      <c r="D154" s="10" t="inlineStr"/>
      <c r="E154" s="8" t="inlineStr">
        <is>
          <t>VICKI ZERTOPOULOS</t>
        </is>
      </c>
      <c r="F154" s="8" t="inlineStr">
        <is>
          <t>2021-08-22</t>
        </is>
      </c>
      <c r="G154" s="8" t="inlineStr">
        <is>
          <t>AUD 23.04 includes conversion commission of AUD .67; offers, or wish to change the address, name or phone number conversion commission of 3.00%. Any Charges converted by third parties prior to being</t>
        </is>
      </c>
    </row>
    <row r="155">
      <c r="A155" s="7" t="n">
        <v>44430</v>
      </c>
      <c r="B155" s="8" t="inlineStr">
        <is>
          <t>PAYPAL *PADDLE.COM 02038794714</t>
        </is>
      </c>
      <c r="C155" s="9" t="n">
        <v>23.85</v>
      </c>
      <c r="D155" s="10" t="inlineStr"/>
      <c r="E155" s="8" t="inlineStr">
        <is>
          <t>VICKI ZERTOPOULOS</t>
        </is>
      </c>
      <c r="F155" s="8" t="inlineStr">
        <is>
          <t>2021-09-22</t>
        </is>
      </c>
      <c r="G155" s="8" t="inlineStr">
        <is>
          <t>AUD 23.85 includes conversion commission of AUD .69</t>
        </is>
      </c>
    </row>
    <row r="156">
      <c r="A156" s="7" t="n">
        <v>44460</v>
      </c>
      <c r="B156" s="8" t="inlineStr">
        <is>
          <t>PAYPAL *PADDLE.COM 02038794714</t>
        </is>
      </c>
      <c r="C156" s="9" t="n">
        <v>23.46</v>
      </c>
      <c r="D156" s="10" t="inlineStr"/>
      <c r="E156" s="8" t="inlineStr">
        <is>
          <t>VICKI ZERTOPOULOS</t>
        </is>
      </c>
      <c r="F156" s="8" t="inlineStr">
        <is>
          <t>2021-10-22</t>
        </is>
      </c>
      <c r="G156" s="8" t="inlineStr">
        <is>
          <t>AUD 23.46 includes conversion commission of AUD .68</t>
        </is>
      </c>
    </row>
    <row r="157">
      <c r="A157" s="7" t="n">
        <v>44490</v>
      </c>
      <c r="B157" s="8" t="inlineStr">
        <is>
          <t>PAYPAL *PADDLE.COM 02038794714</t>
        </is>
      </c>
      <c r="C157" s="9" t="n">
        <v>22.67</v>
      </c>
      <c r="D157" s="10" t="inlineStr"/>
      <c r="E157" s="8" t="inlineStr">
        <is>
          <t>VICKI ZERTOPOULOS</t>
        </is>
      </c>
      <c r="F157" s="8" t="inlineStr">
        <is>
          <t>2021-11-22</t>
        </is>
      </c>
      <c r="G157" s="8" t="inlineStr">
        <is>
          <t>AUD 22.67 includes conversion commission of AUD .66</t>
        </is>
      </c>
    </row>
    <row r="158">
      <c r="A158" s="7" t="n">
        <v>44521</v>
      </c>
      <c r="B158" s="8" t="inlineStr">
        <is>
          <t>PAYPAL *PADDLE.COM 02038794714</t>
        </is>
      </c>
      <c r="C158" s="9" t="n">
        <v>23.45</v>
      </c>
      <c r="D158" s="10" t="inlineStr"/>
      <c r="E158" s="8" t="inlineStr">
        <is>
          <t>VICKI ZERTOPOULOS</t>
        </is>
      </c>
      <c r="F158" s="8" t="inlineStr">
        <is>
          <t>2021-12-22</t>
        </is>
      </c>
      <c r="G158" s="8" t="inlineStr">
        <is>
          <t>AUD 23.45 includes conversion commission of AUD .68</t>
        </is>
      </c>
    </row>
    <row r="159">
      <c r="A159" s="7" t="n">
        <v>44551</v>
      </c>
      <c r="B159" s="8" t="inlineStr">
        <is>
          <t>PAYPAL *PADDLE.COM 02038794714</t>
        </is>
      </c>
      <c r="C159" s="9" t="n">
        <v>23.84</v>
      </c>
      <c r="D159" s="10" t="inlineStr"/>
      <c r="E159" s="8" t="inlineStr">
        <is>
          <t>VICKI ZERTOPOULOS</t>
        </is>
      </c>
      <c r="F159" s="8" t="inlineStr">
        <is>
          <t>2022-01-22</t>
        </is>
      </c>
      <c r="G159" s="8" t="inlineStr">
        <is>
          <t>AUD 23.84 includes conversion commission of AUD .69</t>
        </is>
      </c>
    </row>
    <row r="160">
      <c r="A160" s="7" t="n">
        <v>44582</v>
      </c>
      <c r="B160" s="8" t="inlineStr">
        <is>
          <t>PAYPAL *PADDLE.COM 02038794714</t>
        </is>
      </c>
      <c r="C160" s="9" t="n">
        <v>23.59</v>
      </c>
      <c r="D160" s="10" t="inlineStr"/>
      <c r="E160" s="8" t="inlineStr">
        <is>
          <t>VICKI ZERTOPOULOS</t>
        </is>
      </c>
      <c r="F160" s="8" t="inlineStr">
        <is>
          <t>2022-02-22</t>
        </is>
      </c>
      <c r="G160" s="8" t="inlineStr">
        <is>
          <t>AUD 23.59 includes conversion commission of AUD .69</t>
        </is>
      </c>
    </row>
    <row r="161">
      <c r="A161" s="7" t="n">
        <v>44613</v>
      </c>
      <c r="B161" s="8" t="inlineStr">
        <is>
          <t>PAYPAL *PADDLE.COM 02038794714</t>
        </is>
      </c>
      <c r="C161" s="9" t="n">
        <v>23.56</v>
      </c>
      <c r="D161" s="10" t="inlineStr"/>
      <c r="E161" s="8" t="inlineStr">
        <is>
          <t>VICKI ZERTOPOULOS</t>
        </is>
      </c>
      <c r="F161" s="8" t="inlineStr">
        <is>
          <t>2022-03-22</t>
        </is>
      </c>
      <c r="G161" s="8" t="inlineStr">
        <is>
          <t>AUD 23.56 includes conversion commission of AUD .69</t>
        </is>
      </c>
    </row>
    <row r="162">
      <c r="A162" s="7" t="n">
        <v>44641</v>
      </c>
      <c r="B162" s="8" t="inlineStr">
        <is>
          <t>PAYPAL *PADDLE.COM 02038794714</t>
        </is>
      </c>
      <c r="C162" s="9" t="n">
        <v>22.97</v>
      </c>
      <c r="D162" s="10" t="inlineStr"/>
      <c r="E162" s="8" t="inlineStr">
        <is>
          <t>VICKI ZERTOPOULOS</t>
        </is>
      </c>
      <c r="F162" s="8" t="inlineStr">
        <is>
          <t>2022-04-22</t>
        </is>
      </c>
      <c r="G162" s="8" t="inlineStr">
        <is>
          <t>AUD 22.97 includes conversion commission of AUD .67</t>
        </is>
      </c>
    </row>
    <row r="163">
      <c r="A163" s="7" t="n">
        <v>44672</v>
      </c>
      <c r="B163" s="8" t="inlineStr">
        <is>
          <t>PAYPAL *PADDLE.COM 02038794714</t>
        </is>
      </c>
      <c r="C163" s="9" t="n">
        <v>22.91</v>
      </c>
      <c r="D163" s="10" t="inlineStr"/>
      <c r="E163" s="8" t="inlineStr">
        <is>
          <t>VICKI ZERTOPOULOS</t>
        </is>
      </c>
      <c r="F163" s="8" t="inlineStr">
        <is>
          <t>2022-05-22</t>
        </is>
      </c>
      <c r="G163" s="8" t="inlineStr">
        <is>
          <t>AUD 22.91 includes conversion commission of AUD .67</t>
        </is>
      </c>
    </row>
    <row r="164">
      <c r="A164" s="7" t="n">
        <v>44667</v>
      </c>
      <c r="B164" s="8" t="inlineStr">
        <is>
          <t>PAYPAL *UBER 8665761039</t>
        </is>
      </c>
      <c r="C164" s="9" t="n">
        <v>4.18</v>
      </c>
      <c r="D164" s="10" t="inlineStr"/>
      <c r="E164" s="8" t="inlineStr">
        <is>
          <t>VICKI ZERTOPOULOS</t>
        </is>
      </c>
      <c r="F164" s="8" t="inlineStr">
        <is>
          <t>2022-04-22</t>
        </is>
      </c>
      <c r="G164" s="8" t="inlineStr">
        <is>
          <t>AUD 4.18 includes conversion commission of AUD .12</t>
        </is>
      </c>
    </row>
    <row r="165">
      <c r="A165" s="7" t="n">
        <v>44667</v>
      </c>
      <c r="B165" s="8" t="inlineStr">
        <is>
          <t>PAYPAL *UBER 8665761039</t>
        </is>
      </c>
      <c r="C165" s="9" t="n">
        <v>18.85</v>
      </c>
      <c r="D165" s="10" t="inlineStr"/>
      <c r="E165" s="8" t="inlineStr">
        <is>
          <t>VICKI ZERTOPOULOS</t>
        </is>
      </c>
      <c r="F165" s="8" t="inlineStr">
        <is>
          <t>2022-04-22</t>
        </is>
      </c>
      <c r="G165" s="8" t="inlineStr">
        <is>
          <t>AUD 18.85 includes conversion commission of AUD .55</t>
        </is>
      </c>
    </row>
    <row r="166">
      <c r="A166" s="7" t="n">
        <v>44667</v>
      </c>
      <c r="B166" s="8" t="inlineStr">
        <is>
          <t>PAYPAL *UBER 8665761039</t>
        </is>
      </c>
      <c r="C166" s="9" t="n">
        <v>1.39</v>
      </c>
      <c r="D166" s="10" t="inlineStr"/>
      <c r="E166" s="8" t="inlineStr">
        <is>
          <t>VICKI ZERTOPOULOS</t>
        </is>
      </c>
      <c r="F166" s="8" t="inlineStr">
        <is>
          <t>2022-04-22</t>
        </is>
      </c>
      <c r="G166" s="8" t="inlineStr">
        <is>
          <t>AUD 1.39 includes conversion commission of AUD .04</t>
        </is>
      </c>
    </row>
    <row r="167">
      <c r="A167" s="7" t="n">
        <v>44383</v>
      </c>
      <c r="B167" s="8" t="inlineStr">
        <is>
          <t>PAYPAL *UBER AU 4155184061</t>
        </is>
      </c>
      <c r="C167" s="9" t="n">
        <v>26.5</v>
      </c>
      <c r="D167" s="10" t="inlineStr"/>
      <c r="E167" s="8" t="inlineStr">
        <is>
          <t>VICKI ZERTOPOULOS</t>
        </is>
      </c>
      <c r="F167" s="8" t="inlineStr">
        <is>
          <t>2021-07-22</t>
        </is>
      </c>
      <c r="G167" s="8" t="inlineStr"/>
    </row>
    <row r="168">
      <c r="A168" s="7" t="n">
        <v>44409</v>
      </c>
      <c r="B168" s="8" t="inlineStr">
        <is>
          <t>PAYPAL *UBER AU 4155184061</t>
        </is>
      </c>
      <c r="C168" s="9" t="n">
        <v>15</v>
      </c>
      <c r="D168" s="10" t="inlineStr"/>
      <c r="E168" s="8" t="inlineStr">
        <is>
          <t>VICKI ZERTOPOULOS</t>
        </is>
      </c>
      <c r="F168" s="8" t="inlineStr">
        <is>
          <t>2021-08-22</t>
        </is>
      </c>
      <c r="G168" s="8" t="inlineStr"/>
    </row>
    <row r="169">
      <c r="A169" s="7" t="n">
        <v>44443</v>
      </c>
      <c r="B169" s="8" t="inlineStr">
        <is>
          <t>PAYPAL *UBER AU 4155184061</t>
        </is>
      </c>
      <c r="C169" s="9" t="n">
        <v>53.12</v>
      </c>
      <c r="D169" s="10" t="inlineStr"/>
      <c r="E169" s="8" t="inlineStr">
        <is>
          <t>VICKI ZERTOPOULOS</t>
        </is>
      </c>
      <c r="F169" s="8" t="inlineStr">
        <is>
          <t>2021-09-22</t>
        </is>
      </c>
      <c r="G169" s="8" t="inlineStr"/>
    </row>
    <row r="170">
      <c r="A170" s="7" t="n">
        <v>44539</v>
      </c>
      <c r="B170" s="8" t="inlineStr">
        <is>
          <t>PAYPAL *UBER AU 4155184061</t>
        </is>
      </c>
      <c r="C170" s="9" t="n">
        <v>19.82</v>
      </c>
      <c r="D170" s="10" t="inlineStr"/>
      <c r="E170" s="8" t="inlineStr">
        <is>
          <t>VICKI ZERTOPOULOS</t>
        </is>
      </c>
      <c r="F170" s="8" t="inlineStr">
        <is>
          <t>2021-12-22</t>
        </is>
      </c>
      <c r="G170" s="8" t="inlineStr"/>
    </row>
    <row r="171">
      <c r="A171" s="7" t="n">
        <v>44588</v>
      </c>
      <c r="B171" s="8" t="inlineStr">
        <is>
          <t>PAYPAL *UBER AU 4155184061</t>
        </is>
      </c>
      <c r="C171" s="9" t="n">
        <v>17.17</v>
      </c>
      <c r="D171" s="10" t="inlineStr"/>
      <c r="E171" s="8" t="inlineStr">
        <is>
          <t>VICKI ZERTOPOULOS</t>
        </is>
      </c>
      <c r="F171" s="8" t="inlineStr">
        <is>
          <t>2022-02-22</t>
        </is>
      </c>
      <c r="G171" s="8" t="inlineStr">
        <is>
          <t>offers, or wish to change the address, name or phone number conversion commission of 3.00%. Any Charges converted by third parties prior to being</t>
        </is>
      </c>
    </row>
    <row r="172">
      <c r="A172" s="7" t="n">
        <v>44378</v>
      </c>
      <c r="B172" s="8" t="inlineStr">
        <is>
          <t>PAYPAL *UBEREATS AU 0407111111</t>
        </is>
      </c>
      <c r="C172" s="9" t="n">
        <v>83.39</v>
      </c>
      <c r="D172" s="10" t="inlineStr"/>
      <c r="E172" s="8" t="inlineStr">
        <is>
          <t>VICKI ZERTOPOULOS</t>
        </is>
      </c>
      <c r="F172" s="8" t="inlineStr">
        <is>
          <t>2021-07-22</t>
        </is>
      </c>
      <c r="G172" s="8" t="inlineStr"/>
    </row>
    <row r="173">
      <c r="A173" s="7" t="n">
        <v>44484</v>
      </c>
      <c r="B173" s="8" t="inlineStr">
        <is>
          <t>PAYPAL *UBEREATS AU 0407111111</t>
        </is>
      </c>
      <c r="C173" s="9" t="n">
        <v>77.29000000000001</v>
      </c>
      <c r="D173" s="10" t="inlineStr"/>
      <c r="E173" s="8" t="inlineStr">
        <is>
          <t>VICKI ZERTOPOULOS</t>
        </is>
      </c>
      <c r="F173" s="8" t="inlineStr">
        <is>
          <t>2021-10-22</t>
        </is>
      </c>
      <c r="G173" s="8" t="inlineStr"/>
    </row>
    <row r="174">
      <c r="A174" s="7" t="n">
        <v>44518</v>
      </c>
      <c r="B174" s="8" t="inlineStr">
        <is>
          <t>PAYPAL *UBEREATS AU 0407111111</t>
        </is>
      </c>
      <c r="C174" s="9" t="n">
        <v>40.42</v>
      </c>
      <c r="D174" s="10" t="inlineStr"/>
      <c r="E174" s="8" t="inlineStr">
        <is>
          <t>VICKI ZERTOPOULOS</t>
        </is>
      </c>
      <c r="F174" s="8" t="inlineStr">
        <is>
          <t>2021-11-22</t>
        </is>
      </c>
      <c r="G174" s="8" t="inlineStr"/>
    </row>
    <row r="175">
      <c r="A175" s="7" t="n">
        <v>44531</v>
      </c>
      <c r="B175" s="8" t="inlineStr">
        <is>
          <t>PAYPAL *UBEREATS AU 0407111111</t>
        </is>
      </c>
      <c r="C175" s="9" t="n">
        <v>27.97</v>
      </c>
      <c r="D175" s="10" t="inlineStr"/>
      <c r="E175" s="8" t="inlineStr">
        <is>
          <t>VICKI ZERTOPOULOS</t>
        </is>
      </c>
      <c r="F175" s="8" t="inlineStr">
        <is>
          <t>2021-12-22</t>
        </is>
      </c>
      <c r="G175" s="8" t="inlineStr"/>
    </row>
    <row r="176">
      <c r="A176" s="7" t="n">
        <v>44531</v>
      </c>
      <c r="B176" s="8" t="inlineStr">
        <is>
          <t>PAYPAL *UBEREATS AU 0407111111</t>
        </is>
      </c>
      <c r="C176" s="9" t="n">
        <v>35.35</v>
      </c>
      <c r="D176" s="10" t="inlineStr"/>
      <c r="E176" s="8" t="inlineStr">
        <is>
          <t>VICKI ZERTOPOULOS</t>
        </is>
      </c>
      <c r="F176" s="8" t="inlineStr">
        <is>
          <t>2021-12-22</t>
        </is>
      </c>
      <c r="G176" s="8" t="inlineStr"/>
    </row>
    <row r="177">
      <c r="A177" s="7" t="n">
        <v>44532</v>
      </c>
      <c r="B177" s="8" t="inlineStr">
        <is>
          <t>PAYPAL *UBEREATS AU 0407111111</t>
        </is>
      </c>
      <c r="C177" s="9" t="n">
        <v>36.12</v>
      </c>
      <c r="D177" s="10" t="inlineStr"/>
      <c r="E177" s="8" t="inlineStr">
        <is>
          <t>VICKI ZERTOPOULOS</t>
        </is>
      </c>
      <c r="F177" s="8" t="inlineStr">
        <is>
          <t>2021-12-22</t>
        </is>
      </c>
      <c r="G177" s="8" t="inlineStr"/>
    </row>
    <row r="178">
      <c r="A178" s="7" t="n">
        <v>44532</v>
      </c>
      <c r="B178" s="8" t="inlineStr">
        <is>
          <t>PAYPAL *UBEREATS AU 0407111111</t>
        </is>
      </c>
      <c r="C178" s="9" t="n">
        <v>20.14</v>
      </c>
      <c r="D178" s="10" t="inlineStr"/>
      <c r="E178" s="8" t="inlineStr">
        <is>
          <t>VICKI ZERTOPOULOS</t>
        </is>
      </c>
      <c r="F178" s="8" t="inlineStr">
        <is>
          <t>2021-12-22</t>
        </is>
      </c>
      <c r="G178" s="8" t="inlineStr"/>
    </row>
    <row r="179">
      <c r="A179" s="7" t="n">
        <v>44536</v>
      </c>
      <c r="B179" s="8" t="inlineStr">
        <is>
          <t>PAYPAL *UBEREATS AU 0407111111</t>
        </is>
      </c>
      <c r="C179" s="9" t="n">
        <v>20.14</v>
      </c>
      <c r="D179" s="10" t="inlineStr"/>
      <c r="E179" s="8" t="inlineStr">
        <is>
          <t>VICKI ZERTOPOULOS</t>
        </is>
      </c>
      <c r="F179" s="8" t="inlineStr">
        <is>
          <t>2021-12-22</t>
        </is>
      </c>
      <c r="G179" s="8" t="inlineStr"/>
    </row>
    <row r="180">
      <c r="A180" s="7" t="n">
        <v>44537</v>
      </c>
      <c r="B180" s="8" t="inlineStr">
        <is>
          <t>PAYPAL *UBEREATS AU 0407111111</t>
        </is>
      </c>
      <c r="C180" s="9" t="n">
        <v>33.79</v>
      </c>
      <c r="D180" s="10" t="inlineStr"/>
      <c r="E180" s="8" t="inlineStr">
        <is>
          <t>VICKI ZERTOPOULOS</t>
        </is>
      </c>
      <c r="F180" s="8" t="inlineStr">
        <is>
          <t>2021-12-22</t>
        </is>
      </c>
      <c r="G180" s="8" t="inlineStr"/>
    </row>
    <row r="181">
      <c r="A181" s="7" t="n">
        <v>44539</v>
      </c>
      <c r="B181" s="8" t="inlineStr">
        <is>
          <t>PAYPAL *UBEREATS AU 0407111111</t>
        </is>
      </c>
      <c r="C181" s="9" t="n">
        <v>36.12</v>
      </c>
      <c r="D181" s="10" t="inlineStr"/>
      <c r="E181" s="8" t="inlineStr">
        <is>
          <t>VICKI ZERTOPOULOS</t>
        </is>
      </c>
      <c r="F181" s="8" t="inlineStr">
        <is>
          <t>2021-12-22</t>
        </is>
      </c>
      <c r="G181" s="8" t="inlineStr"/>
    </row>
    <row r="182">
      <c r="A182" s="7" t="n">
        <v>44539</v>
      </c>
      <c r="B182" s="8" t="inlineStr">
        <is>
          <t>PAYPAL *UBEREATS AU 0407111111</t>
        </is>
      </c>
      <c r="C182" s="9" t="n">
        <v>23.64</v>
      </c>
      <c r="D182" s="10" t="inlineStr"/>
      <c r="E182" s="8" t="inlineStr">
        <is>
          <t>VICKI ZERTOPOULOS</t>
        </is>
      </c>
      <c r="F182" s="8" t="inlineStr">
        <is>
          <t>2021-12-22</t>
        </is>
      </c>
      <c r="G182" s="8" t="inlineStr"/>
    </row>
    <row r="183">
      <c r="A183" s="7" t="n">
        <v>44543</v>
      </c>
      <c r="B183" s="8" t="inlineStr">
        <is>
          <t>PAYPAL *UBEREATS AU 0407111111</t>
        </is>
      </c>
      <c r="C183" s="9" t="n">
        <v>23.69</v>
      </c>
      <c r="D183" s="10" t="inlineStr"/>
      <c r="E183" s="8" t="inlineStr">
        <is>
          <t>VICKI ZERTOPOULOS</t>
        </is>
      </c>
      <c r="F183" s="8" t="inlineStr">
        <is>
          <t>2021-12-22</t>
        </is>
      </c>
      <c r="G183" s="8" t="inlineStr"/>
    </row>
    <row r="184">
      <c r="A184" s="7" t="n">
        <v>44543</v>
      </c>
      <c r="B184" s="8" t="inlineStr">
        <is>
          <t>PAYPAL *UBEREATS AU 0407111111</t>
        </is>
      </c>
      <c r="C184" s="9" t="n">
        <v>38.41</v>
      </c>
      <c r="D184" s="10" t="inlineStr"/>
      <c r="E184" s="8" t="inlineStr">
        <is>
          <t>VICKI ZERTOPOULOS</t>
        </is>
      </c>
      <c r="F184" s="8" t="inlineStr">
        <is>
          <t>2021-12-22</t>
        </is>
      </c>
      <c r="G184" s="8" t="inlineStr"/>
    </row>
    <row r="185">
      <c r="A185" s="7" t="n">
        <v>44545</v>
      </c>
      <c r="B185" s="8" t="inlineStr">
        <is>
          <t>PAYPAL *UBEREATS AU 0407111111</t>
        </is>
      </c>
      <c r="C185" s="9" t="n">
        <v>24.69</v>
      </c>
      <c r="D185" s="10" t="inlineStr"/>
      <c r="E185" s="8" t="inlineStr">
        <is>
          <t>VICKI ZERTOPOULOS</t>
        </is>
      </c>
      <c r="F185" s="8" t="inlineStr">
        <is>
          <t>2021-12-22</t>
        </is>
      </c>
      <c r="G185" s="8" t="inlineStr"/>
    </row>
    <row r="186">
      <c r="A186" s="7" t="n">
        <v>44546</v>
      </c>
      <c r="B186" s="8" t="inlineStr">
        <is>
          <t>PAYPAL *UBEREATS AU 0407111111</t>
        </is>
      </c>
      <c r="C186" s="9" t="n">
        <v>28.18</v>
      </c>
      <c r="D186" s="10" t="inlineStr"/>
      <c r="E186" s="8" t="inlineStr">
        <is>
          <t>VICKI ZERTOPOULOS</t>
        </is>
      </c>
      <c r="F186" s="8" t="inlineStr">
        <is>
          <t>2021-12-22</t>
        </is>
      </c>
      <c r="G186" s="8" t="inlineStr"/>
    </row>
    <row r="187">
      <c r="A187" s="7" t="n">
        <v>44548</v>
      </c>
      <c r="B187" s="8" t="inlineStr">
        <is>
          <t>PAYPAL *UBEREATS AU 0407111111</t>
        </is>
      </c>
      <c r="C187" s="9" t="n">
        <v>45.39</v>
      </c>
      <c r="D187" s="10" t="inlineStr"/>
      <c r="E187" s="8" t="inlineStr">
        <is>
          <t>VICKI ZERTOPOULOS</t>
        </is>
      </c>
      <c r="F187" s="8" t="inlineStr">
        <is>
          <t>2021-12-22</t>
        </is>
      </c>
      <c r="G187" s="8" t="inlineStr"/>
    </row>
    <row r="188">
      <c r="A188" s="7" t="n">
        <v>44549</v>
      </c>
      <c r="B188" s="8" t="inlineStr">
        <is>
          <t>PAYPAL *UBEREATS AU 0407111111</t>
        </is>
      </c>
      <c r="C188" s="9" t="n">
        <v>38.63</v>
      </c>
      <c r="D188" s="10" t="inlineStr"/>
      <c r="E188" s="8" t="inlineStr">
        <is>
          <t>VICKI ZERTOPOULOS</t>
        </is>
      </c>
      <c r="F188" s="8" t="inlineStr">
        <is>
          <t>2021-12-22</t>
        </is>
      </c>
      <c r="G188" s="8" t="inlineStr"/>
    </row>
    <row r="189">
      <c r="A189" s="7" t="n">
        <v>44580</v>
      </c>
      <c r="B189" s="8" t="inlineStr">
        <is>
          <t>PAYPAL *UBEREATS AU 0407111111</t>
        </is>
      </c>
      <c r="C189" s="9" t="n">
        <v>28.07</v>
      </c>
      <c r="D189" s="10" t="inlineStr"/>
      <c r="E189" s="8" t="inlineStr">
        <is>
          <t>VICKI ZERTOPOULOS</t>
        </is>
      </c>
      <c r="F189" s="8" t="inlineStr">
        <is>
          <t>2022-01-22</t>
        </is>
      </c>
      <c r="G189" s="8" t="inlineStr"/>
    </row>
    <row r="190">
      <c r="A190" s="7" t="n">
        <v>44584</v>
      </c>
      <c r="B190" s="8" t="inlineStr">
        <is>
          <t>PAYPAL *UBEREATS AU 0407111111</t>
        </is>
      </c>
      <c r="C190" s="9" t="n">
        <v>32.37</v>
      </c>
      <c r="D190" s="10" t="inlineStr"/>
      <c r="E190" s="8" t="inlineStr">
        <is>
          <t>VICKI ZERTOPOULOS</t>
        </is>
      </c>
      <c r="F190" s="8" t="inlineStr">
        <is>
          <t>2022-02-22</t>
        </is>
      </c>
      <c r="G190" s="8" t="inlineStr"/>
    </row>
    <row r="191">
      <c r="A191" s="7" t="n">
        <v>44601</v>
      </c>
      <c r="B191" s="8" t="inlineStr">
        <is>
          <t>PAYPAL *UBEREATS AU 0407111111</t>
        </is>
      </c>
      <c r="C191" s="9" t="n">
        <v>22.63</v>
      </c>
      <c r="D191" s="10" t="inlineStr"/>
      <c r="E191" s="8" t="inlineStr">
        <is>
          <t>VICKI ZERTOPOULOS</t>
        </is>
      </c>
      <c r="F191" s="8" t="inlineStr">
        <is>
          <t>2022-02-22</t>
        </is>
      </c>
      <c r="G191" s="8" t="inlineStr"/>
    </row>
    <row r="192">
      <c r="A192" s="7" t="n">
        <v>44602</v>
      </c>
      <c r="B192" s="8" t="inlineStr">
        <is>
          <t>PAYPAL *UBEREATS AU 0407111111</t>
        </is>
      </c>
      <c r="C192" s="9" t="n">
        <v>26.07</v>
      </c>
      <c r="D192" s="10" t="inlineStr"/>
      <c r="E192" s="8" t="inlineStr">
        <is>
          <t>VICKI ZERTOPOULOS</t>
        </is>
      </c>
      <c r="F192" s="8" t="inlineStr">
        <is>
          <t>2022-02-22</t>
        </is>
      </c>
      <c r="G192" s="8" t="inlineStr"/>
    </row>
    <row r="193">
      <c r="A193" s="7" t="n">
        <v>44660</v>
      </c>
      <c r="B193" s="8" t="inlineStr">
        <is>
          <t>PAYPAL *UBEREATS AU 0407111111</t>
        </is>
      </c>
      <c r="C193" s="9" t="n">
        <v>53.79</v>
      </c>
      <c r="D193" s="10" t="inlineStr"/>
      <c r="E193" s="8" t="inlineStr">
        <is>
          <t>VICKI ZERTOPOULOS</t>
        </is>
      </c>
      <c r="F193" s="8" t="inlineStr">
        <is>
          <t>2022-04-22</t>
        </is>
      </c>
      <c r="G193" s="8" t="inlineStr"/>
    </row>
    <row r="194">
      <c r="A194" s="7" t="n">
        <v>44687</v>
      </c>
      <c r="B194" s="8" t="inlineStr">
        <is>
          <t>PAYPAL *UBEREATS AU 0407111111</t>
        </is>
      </c>
      <c r="C194" s="9" t="n">
        <v>108.88</v>
      </c>
      <c r="D194" s="10" t="inlineStr"/>
      <c r="E194" s="8" t="inlineStr">
        <is>
          <t>VICKI ZERTOPOULOS</t>
        </is>
      </c>
      <c r="F194" s="8" t="inlineStr">
        <is>
          <t>2022-05-22</t>
        </is>
      </c>
      <c r="G194" s="8" t="inlineStr"/>
    </row>
    <row r="195">
      <c r="A195" s="7" t="n">
        <v>44687</v>
      </c>
      <c r="B195" s="8" t="inlineStr">
        <is>
          <t>PAYPAL *UBEREATS AU 0407111111</t>
        </is>
      </c>
      <c r="C195" s="9" t="n">
        <v>31.88</v>
      </c>
      <c r="D195" s="10" t="inlineStr"/>
      <c r="E195" s="8" t="inlineStr">
        <is>
          <t>VICKI ZERTOPOULOS</t>
        </is>
      </c>
      <c r="F195" s="8" t="inlineStr">
        <is>
          <t>2022-05-22</t>
        </is>
      </c>
      <c r="G195" s="8" t="inlineStr"/>
    </row>
    <row r="196">
      <c r="A196" s="7" t="n">
        <v>44692</v>
      </c>
      <c r="B196" s="8" t="inlineStr">
        <is>
          <t>PAYPAL *UBEREATS AU 0407111111</t>
        </is>
      </c>
      <c r="C196" s="9" t="n">
        <v>20.98</v>
      </c>
      <c r="D196" s="10" t="inlineStr"/>
      <c r="E196" s="8" t="inlineStr">
        <is>
          <t>VICKI ZERTOPOULOS</t>
        </is>
      </c>
      <c r="F196" s="8" t="inlineStr">
        <is>
          <t>2022-05-22</t>
        </is>
      </c>
      <c r="G196" s="8" t="inlineStr"/>
    </row>
    <row r="197">
      <c r="A197" s="7" t="n">
        <v>44702</v>
      </c>
      <c r="B197" s="8" t="inlineStr">
        <is>
          <t>PAYPAL *UBEREATS AU 0407111111</t>
        </is>
      </c>
      <c r="C197" s="9" t="n">
        <v>58.19</v>
      </c>
      <c r="D197" s="10" t="inlineStr"/>
      <c r="E197" s="8" t="inlineStr">
        <is>
          <t>VICKI ZERTOPOULOS</t>
        </is>
      </c>
      <c r="F197" s="8" t="inlineStr">
        <is>
          <t>2022-05-22</t>
        </is>
      </c>
      <c r="G197" s="8" t="inlineStr"/>
    </row>
    <row r="198">
      <c r="A198" s="7" t="n">
        <v>44702</v>
      </c>
      <c r="B198" s="8" t="inlineStr">
        <is>
          <t>PAYPAL *UBEREATS AU 0407111111</t>
        </is>
      </c>
      <c r="C198" s="9" t="n">
        <v>19.19</v>
      </c>
      <c r="D198" s="10" t="inlineStr"/>
      <c r="E198" s="8" t="inlineStr">
        <is>
          <t>VICKI ZERTOPOULOS</t>
        </is>
      </c>
      <c r="F198" s="8" t="inlineStr">
        <is>
          <t>2022-05-22</t>
        </is>
      </c>
      <c r="G198" s="8" t="inlineStr"/>
    </row>
    <row r="199">
      <c r="A199" s="7" t="n">
        <v>44568</v>
      </c>
      <c r="B199" s="8" t="inlineStr">
        <is>
          <t>PAYPAL *WITCHERYFAS 0421872186</t>
        </is>
      </c>
      <c r="C199" s="9" t="n">
        <v>107.91</v>
      </c>
      <c r="D199" s="10" t="inlineStr"/>
      <c r="E199" s="8" t="inlineStr">
        <is>
          <t>VICKI ZERTOPOULOS</t>
        </is>
      </c>
      <c r="F199" s="8" t="inlineStr">
        <is>
          <t>2022-01-22</t>
        </is>
      </c>
      <c r="G199" s="8" t="inlineStr"/>
    </row>
    <row r="200">
      <c r="A200" s="7" t="n">
        <v>44579</v>
      </c>
      <c r="B200" s="8" t="inlineStr">
        <is>
          <t>PAYPAL *WITCHERYFAS 0421872186</t>
        </is>
      </c>
      <c r="C200" s="9" t="n">
        <v>77.97</v>
      </c>
      <c r="D200" s="10" t="inlineStr"/>
      <c r="E200" s="8" t="inlineStr">
        <is>
          <t>VICKI ZERTOPOULOS</t>
        </is>
      </c>
      <c r="F200" s="8" t="inlineStr">
        <is>
          <t>2022-01-22</t>
        </is>
      </c>
      <c r="G200" s="8" t="inlineStr"/>
    </row>
    <row r="201">
      <c r="A201" s="7" t="n">
        <v>44378</v>
      </c>
      <c r="B201" s="8" t="inlineStr">
        <is>
          <t>READINGS DONCASTER 3299 DONCASTER</t>
        </is>
      </c>
      <c r="C201" s="9" t="n">
        <v>64.98</v>
      </c>
      <c r="D201" s="10" t="inlineStr"/>
      <c r="E201" s="8" t="inlineStr">
        <is>
          <t>VICKI ZERTOPOULOS</t>
        </is>
      </c>
      <c r="F201" s="8" t="inlineStr">
        <is>
          <t>2021-07-22</t>
        </is>
      </c>
      <c r="G201" s="8" t="inlineStr"/>
    </row>
    <row r="202">
      <c r="A202" s="7" t="n">
        <v>44565</v>
      </c>
      <c r="B202" s="8" t="inlineStr">
        <is>
          <t>SALVOS MORNINGTON CENTR MORNINGTON</t>
        </is>
      </c>
      <c r="C202" s="9" t="n">
        <v>8</v>
      </c>
      <c r="D202" s="10" t="inlineStr"/>
      <c r="E202" s="8" t="inlineStr">
        <is>
          <t>VICKI ZERTOPOULOS</t>
        </is>
      </c>
      <c r="F202" s="8" t="inlineStr">
        <is>
          <t>2022-01-22</t>
        </is>
      </c>
      <c r="G202" s="8" t="inlineStr"/>
    </row>
    <row r="203">
      <c r="A203" s="7" t="n">
        <v>44602</v>
      </c>
      <c r="B203" s="8" t="inlineStr">
        <is>
          <t>THE SAGE METHOD BUSHNELL</t>
        </is>
      </c>
      <c r="C203" s="9" t="n">
        <v>27.37</v>
      </c>
      <c r="D203" s="10" t="inlineStr"/>
      <c r="E203" s="8" t="inlineStr">
        <is>
          <t>VICKI ZERTOPOULOS</t>
        </is>
      </c>
      <c r="F203" s="8" t="inlineStr">
        <is>
          <t>2022-02-22</t>
        </is>
      </c>
      <c r="G203" s="8" t="inlineStr">
        <is>
          <t>AUD 27.37 includes conversion commission of AUD .80</t>
        </is>
      </c>
    </row>
    <row r="204">
      <c r="A204" s="7" t="n">
        <v>44630</v>
      </c>
      <c r="B204" s="8" t="inlineStr">
        <is>
          <t>THE SAGE METHOD BUSHNELL</t>
        </is>
      </c>
      <c r="C204" s="9" t="n">
        <v>26.85</v>
      </c>
      <c r="D204" s="10" t="inlineStr"/>
      <c r="E204" s="8" t="inlineStr">
        <is>
          <t>VICKI ZERTOPOULOS</t>
        </is>
      </c>
      <c r="F204" s="8" t="inlineStr">
        <is>
          <t>2022-03-22</t>
        </is>
      </c>
      <c r="G204" s="8" t="inlineStr">
        <is>
          <t>AUD 26.85 includes conversion commission of AUD .78</t>
        </is>
      </c>
    </row>
    <row r="205">
      <c r="A205" s="7" t="n">
        <v>44661</v>
      </c>
      <c r="B205" s="8" t="inlineStr">
        <is>
          <t>THE SAGE METHOD BUSHNELL</t>
        </is>
      </c>
      <c r="C205" s="9" t="n">
        <v>26.35</v>
      </c>
      <c r="D205" s="10" t="inlineStr"/>
      <c r="E205" s="8" t="inlineStr">
        <is>
          <t>VICKI ZERTOPOULOS</t>
        </is>
      </c>
      <c r="F205" s="8" t="inlineStr">
        <is>
          <t>2022-04-22</t>
        </is>
      </c>
      <c r="G205" s="8" t="inlineStr">
        <is>
          <t>AUD 26.35 includes conversion commission of AUD .77</t>
        </is>
      </c>
    </row>
    <row r="206">
      <c r="A206" s="7" t="n">
        <v>44675</v>
      </c>
      <c r="B206" s="8" t="inlineStr">
        <is>
          <t>THE SAGE METHOD BUSHNELL</t>
        </is>
      </c>
      <c r="C206" s="9" t="n">
        <v>140.7</v>
      </c>
      <c r="D206" s="10" t="inlineStr"/>
      <c r="E206" s="8" t="inlineStr">
        <is>
          <t>VICKI ZERTOPOULOS</t>
        </is>
      </c>
      <c r="F206" s="8" t="inlineStr">
        <is>
          <t>2022-05-22</t>
        </is>
      </c>
      <c r="G206" s="8" t="inlineStr">
        <is>
          <t>AUD 140.70 includes conversion commission of AUD 4.10</t>
        </is>
      </c>
    </row>
    <row r="207">
      <c r="A207" s="7" t="n">
        <v>44691</v>
      </c>
      <c r="B207" s="8" t="inlineStr">
        <is>
          <t>THE SAGE METHOD BUSHNELL</t>
        </is>
      </c>
      <c r="C207" s="9" t="n">
        <v>28.05</v>
      </c>
      <c r="D207" s="10" t="inlineStr"/>
      <c r="E207" s="8" t="inlineStr">
        <is>
          <t>VICKI ZERTOPOULOS</t>
        </is>
      </c>
      <c r="F207" s="8" t="inlineStr">
        <is>
          <t>2022-05-22</t>
        </is>
      </c>
      <c r="G207" s="8" t="inlineStr">
        <is>
          <t>AUD 28.05 includes conversion commission of AUD .82</t>
        </is>
      </c>
    </row>
    <row r="208">
      <c r="A208" s="7" t="n">
        <v>44387</v>
      </c>
      <c r="B208" s="8" t="inlineStr">
        <is>
          <t>THE SAGE METHOD LAKE OSWEGO</t>
        </is>
      </c>
      <c r="C208" s="9" t="n">
        <v>26.38</v>
      </c>
      <c r="D208" s="10" t="inlineStr"/>
      <c r="E208" s="8" t="inlineStr">
        <is>
          <t>VICKI ZERTOPOULOS</t>
        </is>
      </c>
      <c r="F208" s="8" t="inlineStr">
        <is>
          <t>2021-07-22</t>
        </is>
      </c>
      <c r="G208" s="8" t="inlineStr">
        <is>
          <t>AUD 26.38 includes conversion commission of AUD .77</t>
        </is>
      </c>
    </row>
    <row r="209">
      <c r="A209" s="7" t="n">
        <v>44393</v>
      </c>
      <c r="B209" s="8" t="inlineStr">
        <is>
          <t>THE SAGE METHOD LAKE OSWEGO</t>
        </is>
      </c>
      <c r="C209" s="9" t="n">
        <v>41.58</v>
      </c>
      <c r="D209" s="10" t="inlineStr"/>
      <c r="E209" s="8" t="inlineStr">
        <is>
          <t>VICKI ZERTOPOULOS</t>
        </is>
      </c>
      <c r="F209" s="8" t="inlineStr">
        <is>
          <t>2021-07-22</t>
        </is>
      </c>
      <c r="G209" s="8" t="inlineStr">
        <is>
          <t>AUD 41.58 includes conversion commission of AUD 1.21</t>
        </is>
      </c>
    </row>
    <row r="210">
      <c r="A210" s="7" t="n">
        <v>44418</v>
      </c>
      <c r="B210" s="8" t="inlineStr">
        <is>
          <t>THE SAGE METHOD LAKE OSWEGO</t>
        </is>
      </c>
      <c r="C210" s="9" t="n">
        <v>26.69</v>
      </c>
      <c r="D210" s="10" t="inlineStr"/>
      <c r="E210" s="8" t="inlineStr">
        <is>
          <t>VICKI ZERTOPOULOS</t>
        </is>
      </c>
      <c r="F210" s="8" t="inlineStr">
        <is>
          <t>2021-08-22</t>
        </is>
      </c>
      <c r="G210" s="8" t="inlineStr">
        <is>
          <t>AUD 26.69 includes conversion commission of AUD .78</t>
        </is>
      </c>
    </row>
    <row r="211">
      <c r="A211" s="7" t="n">
        <v>44449</v>
      </c>
      <c r="B211" s="8" t="inlineStr">
        <is>
          <t>THE SAGE METHOD LAKE OSWEGO</t>
        </is>
      </c>
      <c r="C211" s="9" t="n">
        <v>26.6</v>
      </c>
      <c r="D211" s="10" t="inlineStr"/>
      <c r="E211" s="8" t="inlineStr">
        <is>
          <t>VICKI ZERTOPOULOS</t>
        </is>
      </c>
      <c r="F211" s="8" t="inlineStr">
        <is>
          <t>2021-09-22</t>
        </is>
      </c>
      <c r="G211" s="8" t="inlineStr">
        <is>
          <t>AUD 26.60 includes conversion commission of AUD .77</t>
        </is>
      </c>
    </row>
    <row r="212">
      <c r="A212" s="7" t="n">
        <v>44450</v>
      </c>
      <c r="B212" s="8" t="inlineStr">
        <is>
          <t>THE SAGE METHOD LAKE OSWEGO</t>
        </is>
      </c>
      <c r="C212" s="9" t="n">
        <v>41.93</v>
      </c>
      <c r="D212" s="10" t="inlineStr"/>
      <c r="E212" s="8" t="inlineStr">
        <is>
          <t>VICKI ZERTOPOULOS</t>
        </is>
      </c>
      <c r="F212" s="8" t="inlineStr">
        <is>
          <t>2021-09-22</t>
        </is>
      </c>
      <c r="G212" s="8" t="inlineStr">
        <is>
          <t>AUD 41.93 includes conversion commission of AUD 1.22</t>
        </is>
      </c>
    </row>
    <row r="213">
      <c r="A213" s="7" t="n">
        <v>44479</v>
      </c>
      <c r="B213" s="8" t="inlineStr">
        <is>
          <t>THE SAGE METHOD LAKE OSWEGO</t>
        </is>
      </c>
      <c r="C213" s="9" t="n">
        <v>26.86</v>
      </c>
      <c r="D213" s="10" t="inlineStr"/>
      <c r="E213" s="8" t="inlineStr">
        <is>
          <t>VICKI ZERTOPOULOS</t>
        </is>
      </c>
      <c r="F213" s="8" t="inlineStr">
        <is>
          <t>2021-10-22</t>
        </is>
      </c>
      <c r="G213" s="8" t="inlineStr">
        <is>
          <t>AUD 26.86 includes conversion commission of AUD .78</t>
        </is>
      </c>
    </row>
    <row r="214">
      <c r="A214" s="7" t="n">
        <v>44510</v>
      </c>
      <c r="B214" s="8" t="inlineStr">
        <is>
          <t>THE SAGE METHOD LAKE OSWEGO</t>
        </is>
      </c>
      <c r="C214" s="9" t="n">
        <v>26.56</v>
      </c>
      <c r="D214" s="10" t="inlineStr"/>
      <c r="E214" s="8" t="inlineStr">
        <is>
          <t>VICKI ZERTOPOULOS</t>
        </is>
      </c>
      <c r="F214" s="8" t="inlineStr">
        <is>
          <t>2021-11-22</t>
        </is>
      </c>
      <c r="G214" s="8" t="inlineStr">
        <is>
          <t>AUD 26.56 includes conversion commission of AUD .77</t>
        </is>
      </c>
    </row>
    <row r="215">
      <c r="A215" s="7" t="n">
        <v>44540</v>
      </c>
      <c r="B215" s="8" t="inlineStr">
        <is>
          <t>THE SAGE METHOD LAKE OSWEGO</t>
        </is>
      </c>
      <c r="C215" s="9" t="n">
        <v>27.43</v>
      </c>
      <c r="D215" s="10" t="inlineStr"/>
      <c r="E215" s="8" t="inlineStr">
        <is>
          <t>VICKI ZERTOPOULOS</t>
        </is>
      </c>
      <c r="F215" s="8" t="inlineStr">
        <is>
          <t>2021-12-22</t>
        </is>
      </c>
      <c r="G215" s="8" t="inlineStr">
        <is>
          <t>AUD 27.43 includes conversion commission of AUD .80</t>
        </is>
      </c>
    </row>
    <row r="216">
      <c r="A216" s="7" t="n">
        <v>44571</v>
      </c>
      <c r="B216" s="8" t="inlineStr">
        <is>
          <t>THE SAGE METHOD LIVINGSTON</t>
        </is>
      </c>
      <c r="C216" s="9" t="n">
        <v>27.45</v>
      </c>
      <c r="D216" s="10" t="inlineStr"/>
      <c r="E216" s="8" t="inlineStr">
        <is>
          <t>VICKI ZERTOPOULOS</t>
        </is>
      </c>
      <c r="F216" s="8" t="inlineStr">
        <is>
          <t>2022-01-22</t>
        </is>
      </c>
      <c r="G216" s="8" t="inlineStr">
        <is>
          <t>AUD 27.45 includes conversion commission of AUD .80</t>
        </is>
      </c>
    </row>
    <row r="217">
      <c r="A217" s="7" t="n">
        <v>44651</v>
      </c>
      <c r="B217" s="8" t="inlineStr">
        <is>
          <t>TK MAXX DONCASTER DONCASTER</t>
        </is>
      </c>
      <c r="C217" s="9" t="n">
        <v>24.99</v>
      </c>
      <c r="D217" s="10" t="inlineStr"/>
      <c r="E217" s="8" t="inlineStr">
        <is>
          <t>VICKI ZERTOPOULOS</t>
        </is>
      </c>
      <c r="F217" s="8" t="inlineStr">
        <is>
          <t>2022-04-22</t>
        </is>
      </c>
      <c r="G217" s="8" t="inlineStr"/>
    </row>
    <row r="218">
      <c r="A218" s="7" t="n">
        <v>44561</v>
      </c>
      <c r="B218" s="8" t="inlineStr">
        <is>
          <t>WITCHERY CAMBERWELL CAMBERWELL</t>
        </is>
      </c>
      <c r="C218" s="9" t="n">
        <v>110.04</v>
      </c>
      <c r="D218" s="10" t="inlineStr"/>
      <c r="E218" s="8" t="inlineStr">
        <is>
          <t>VICKI ZERTOPOULOS</t>
        </is>
      </c>
      <c r="F218" s="8" t="inlineStr">
        <is>
          <t>2022-01-22</t>
        </is>
      </c>
      <c r="G218" s="8" t="inlineStr"/>
    </row>
    <row r="219">
      <c r="A219" s="7" t="n">
        <v>44582</v>
      </c>
      <c r="B219" s="8" t="inlineStr">
        <is>
          <t>WITCHERY CAMBERWELL CAMBERWELL</t>
        </is>
      </c>
      <c r="C219" s="9" t="n">
        <v>42.03</v>
      </c>
      <c r="D219" s="10" t="inlineStr"/>
      <c r="E219" s="8" t="inlineStr">
        <is>
          <t>VICKI ZERTOPOULOS</t>
        </is>
      </c>
      <c r="F219" s="8" t="inlineStr">
        <is>
          <t>2022-01-22</t>
        </is>
      </c>
      <c r="G219" s="8" t="inlineStr"/>
    </row>
    <row r="220">
      <c r="A220" s="7" t="n">
        <v>44582</v>
      </c>
      <c r="B220" s="8" t="inlineStr">
        <is>
          <t>WITCHERY CAMBERWELL CAMBERWELL</t>
        </is>
      </c>
      <c r="C220" s="9" t="n">
        <v>101.97</v>
      </c>
      <c r="D220" s="10" t="inlineStr"/>
      <c r="E220" s="8" t="inlineStr">
        <is>
          <t>VICKI ZERTOPOULOS</t>
        </is>
      </c>
      <c r="F220" s="8" t="inlineStr">
        <is>
          <t>2022-01-22</t>
        </is>
      </c>
      <c r="G220" s="8" t="inlineStr"/>
    </row>
    <row r="221">
      <c r="A221" s="7" t="n">
        <v>44582</v>
      </c>
      <c r="B221" s="8" t="inlineStr">
        <is>
          <t>WITCHERY CAMBERWELL CAMBERWELL</t>
        </is>
      </c>
      <c r="C221" s="9" t="n">
        <v>66.3</v>
      </c>
      <c r="D221" s="10" t="inlineStr"/>
      <c r="E221" s="8" t="inlineStr">
        <is>
          <t>VICKI ZERTOPOULOS</t>
        </is>
      </c>
      <c r="F221" s="8" t="inlineStr">
        <is>
          <t>2022-01-22</t>
        </is>
      </c>
      <c r="G221" s="8" t="inlineStr"/>
    </row>
    <row r="222">
      <c r="A222" s="7" t="n">
        <v>44413</v>
      </c>
      <c r="B222" s="8" t="inlineStr">
        <is>
          <t>WITCHERY CHADSTONE CHADSTONE</t>
        </is>
      </c>
      <c r="C222" s="9" t="n">
        <v>53.95</v>
      </c>
      <c r="D222" s="10" t="inlineStr"/>
      <c r="E222" s="8" t="inlineStr">
        <is>
          <t>VICKI ZERTOPOULOS</t>
        </is>
      </c>
      <c r="F222" s="8" t="inlineStr">
        <is>
          <t>2021-08-22</t>
        </is>
      </c>
      <c r="G222" s="8" t="inlineStr"/>
    </row>
    <row r="223">
      <c r="A223" s="7" t="n">
        <v>44500</v>
      </c>
      <c r="B223" s="8" t="inlineStr">
        <is>
          <t>WITCHERY CHADSTONE CHADSTONE</t>
        </is>
      </c>
      <c r="C223" s="9" t="n">
        <v>64.98</v>
      </c>
      <c r="D223" s="10" t="inlineStr"/>
      <c r="E223" s="8" t="inlineStr">
        <is>
          <t>VICKI ZERTOPOULOS</t>
        </is>
      </c>
      <c r="F223" s="8" t="inlineStr">
        <is>
          <t>2021-11-22</t>
        </is>
      </c>
      <c r="G223" s="8" t="inlineStr"/>
    </row>
    <row r="224">
      <c r="A224" s="7" t="n">
        <v>44502</v>
      </c>
      <c r="B224" s="8" t="inlineStr">
        <is>
          <t>WITCHERY CHADSTONE CHADSTONE</t>
        </is>
      </c>
      <c r="C224" s="9" t="n">
        <v>154.96</v>
      </c>
      <c r="D224" s="10" t="inlineStr"/>
      <c r="E224" s="8" t="inlineStr">
        <is>
          <t>VICKI ZERTOPOULOS</t>
        </is>
      </c>
      <c r="F224" s="8" t="inlineStr">
        <is>
          <t>2021-11-22</t>
        </is>
      </c>
      <c r="G224" s="8" t="inlineStr"/>
    </row>
    <row r="225">
      <c r="A225" s="7" t="n">
        <v>44506</v>
      </c>
      <c r="B225" s="8" t="inlineStr">
        <is>
          <t>WITCHERY CHADSTONE CHADSTONE</t>
        </is>
      </c>
      <c r="C225" s="9" t="n">
        <v>69.95999999999999</v>
      </c>
      <c r="D225" s="10" t="inlineStr"/>
      <c r="E225" s="8" t="inlineStr">
        <is>
          <t>VICKI ZERTOPOULOS</t>
        </is>
      </c>
      <c r="F225" s="8" t="inlineStr">
        <is>
          <t>2021-11-22</t>
        </is>
      </c>
      <c r="G225" s="8" t="inlineStr"/>
    </row>
    <row r="226">
      <c r="A226" s="7" t="n">
        <v>44512</v>
      </c>
      <c r="B226" s="8" t="inlineStr">
        <is>
          <t>WITCHERY CHADSTONE CHADSTONE</t>
        </is>
      </c>
      <c r="C226" s="9" t="n">
        <v>269.88</v>
      </c>
      <c r="D226" s="10" t="inlineStr"/>
      <c r="E226" s="8" t="inlineStr">
        <is>
          <t>VICKI ZERTOPOULOS</t>
        </is>
      </c>
      <c r="F226" s="8" t="inlineStr">
        <is>
          <t>2021-11-22</t>
        </is>
      </c>
      <c r="G226" s="8" t="inlineStr"/>
    </row>
    <row r="227">
      <c r="A227" s="7" t="n">
        <v>44527</v>
      </c>
      <c r="B227" s="8" t="inlineStr">
        <is>
          <t>WITCHERY CHADSTONE CHADSTONE</t>
        </is>
      </c>
      <c r="C227" s="9" t="n">
        <v>77.97</v>
      </c>
      <c r="D227" s="10" t="inlineStr"/>
      <c r="E227" s="8" t="inlineStr">
        <is>
          <t>VICKI ZERTOPOULOS</t>
        </is>
      </c>
      <c r="F227" s="8" t="inlineStr">
        <is>
          <t>2021-12-22</t>
        </is>
      </c>
      <c r="G227" s="8" t="inlineStr"/>
    </row>
    <row r="228">
      <c r="A228" s="7" t="n">
        <v>44549</v>
      </c>
      <c r="B228" s="8" t="inlineStr">
        <is>
          <t>WITCHERY CHADSTONE CHADSTONE</t>
        </is>
      </c>
      <c r="C228" s="9" t="n">
        <v>179.97</v>
      </c>
      <c r="D228" s="10" t="inlineStr"/>
      <c r="E228" s="8" t="inlineStr">
        <is>
          <t>VICKI ZERTOPOULOS</t>
        </is>
      </c>
      <c r="F228" s="8" t="inlineStr">
        <is>
          <t>2021-12-22</t>
        </is>
      </c>
      <c r="G228" s="8" t="inlineStr"/>
    </row>
    <row r="229">
      <c r="A229" s="7" t="n">
        <v>44556</v>
      </c>
      <c r="B229" s="8" t="inlineStr">
        <is>
          <t>WITCHERY CHADSTONE CHADSTONE</t>
        </is>
      </c>
      <c r="C229" s="9" t="n">
        <v>231</v>
      </c>
      <c r="D229" s="10" t="inlineStr"/>
      <c r="E229" s="8" t="inlineStr">
        <is>
          <t>VICKI ZERTOPOULOS</t>
        </is>
      </c>
      <c r="F229" s="8" t="inlineStr">
        <is>
          <t>2022-01-22</t>
        </is>
      </c>
      <c r="G229" s="8" t="inlineStr"/>
    </row>
    <row r="230">
      <c r="A230" s="7" t="n">
        <v>44559</v>
      </c>
      <c r="B230" s="8" t="inlineStr">
        <is>
          <t>WITCHERY CHADSTONE CHADSTONE</t>
        </is>
      </c>
      <c r="C230" s="9" t="n">
        <v>143.91</v>
      </c>
      <c r="D230" s="10" t="inlineStr"/>
      <c r="E230" s="8" t="inlineStr">
        <is>
          <t>VICKI ZERTOPOULOS</t>
        </is>
      </c>
      <c r="F230" s="8" t="inlineStr">
        <is>
          <t>2022-01-22</t>
        </is>
      </c>
      <c r="G230" s="8" t="inlineStr"/>
    </row>
    <row r="231">
      <c r="A231" s="7" t="n">
        <v>44561</v>
      </c>
      <c r="B231" s="8" t="inlineStr">
        <is>
          <t>WITCHERY CHADSTONE CHADSTONE</t>
        </is>
      </c>
      <c r="C231" s="9" t="n">
        <v>47.97</v>
      </c>
      <c r="D231" s="10" t="inlineStr"/>
      <c r="E231" s="8" t="inlineStr">
        <is>
          <t>VICKI ZERTOPOULOS</t>
        </is>
      </c>
      <c r="F231" s="8" t="inlineStr">
        <is>
          <t>2022-01-22</t>
        </is>
      </c>
      <c r="G231" s="8" t="inlineStr"/>
    </row>
    <row r="232">
      <c r="A232" s="7" t="n">
        <v>44577</v>
      </c>
      <c r="B232" s="8" t="inlineStr">
        <is>
          <t>WITCHERY CHADSTONE CHADSTONE</t>
        </is>
      </c>
      <c r="C232" s="9" t="n">
        <v>167.97</v>
      </c>
      <c r="D232" s="10" t="inlineStr"/>
      <c r="E232" s="8" t="inlineStr">
        <is>
          <t>VICKI ZERTOPOULOS</t>
        </is>
      </c>
      <c r="F232" s="8" t="inlineStr">
        <is>
          <t>2022-01-22</t>
        </is>
      </c>
      <c r="G232" s="8" t="inlineStr"/>
    </row>
    <row r="233">
      <c r="A233" s="7" t="n">
        <v>44605</v>
      </c>
      <c r="B233" s="8" t="inlineStr">
        <is>
          <t>WITCHERY CHADSTONE CHADSTONE</t>
        </is>
      </c>
      <c r="C233" s="9" t="n">
        <v>209.91</v>
      </c>
      <c r="D233" s="10" t="inlineStr"/>
      <c r="E233" s="8" t="inlineStr">
        <is>
          <t>VICKI ZERTOPOULOS</t>
        </is>
      </c>
      <c r="F233" s="8" t="inlineStr">
        <is>
          <t>2022-02-22</t>
        </is>
      </c>
      <c r="G233" s="8" t="inlineStr"/>
    </row>
    <row r="234">
      <c r="A234" s="7" t="n">
        <v>44610</v>
      </c>
      <c r="B234" s="8" t="inlineStr">
        <is>
          <t>WITCHERY CHADSTONE CHADSTONE</t>
        </is>
      </c>
      <c r="C234" s="9" t="n">
        <v>149.94</v>
      </c>
      <c r="D234" s="10" t="inlineStr"/>
      <c r="E234" s="8" t="inlineStr">
        <is>
          <t>VICKI ZERTOPOULOS</t>
        </is>
      </c>
      <c r="F234" s="8" t="inlineStr">
        <is>
          <t>2022-02-22</t>
        </is>
      </c>
      <c r="G234" s="8" t="inlineStr"/>
    </row>
    <row r="235">
      <c r="A235" s="7" t="n">
        <v>44624</v>
      </c>
      <c r="B235" s="8" t="inlineStr">
        <is>
          <t>WITCHERY CHADSTONE CHADSTONE</t>
        </is>
      </c>
      <c r="C235" s="9" t="n">
        <v>17.96</v>
      </c>
      <c r="D235" s="10" t="inlineStr"/>
      <c r="E235" s="8" t="inlineStr">
        <is>
          <t>VICKI ZERTOPOULOS</t>
        </is>
      </c>
      <c r="F235" s="8" t="inlineStr">
        <is>
          <t>2022-03-22</t>
        </is>
      </c>
      <c r="G235" s="8" t="inlineStr"/>
    </row>
    <row r="236">
      <c r="A236" s="7" t="n">
        <v>44625</v>
      </c>
      <c r="B236" s="8" t="inlineStr">
        <is>
          <t>WITCHERY CHADSTONE CHADSTONE</t>
        </is>
      </c>
      <c r="C236" s="9" t="n">
        <v>111.9</v>
      </c>
      <c r="D236" s="10" t="inlineStr"/>
      <c r="E236" s="8" t="inlineStr">
        <is>
          <t>VICKI ZERTOPOULOS</t>
        </is>
      </c>
      <c r="F236" s="8" t="inlineStr">
        <is>
          <t>2022-03-22</t>
        </is>
      </c>
      <c r="G236" s="8" t="inlineStr"/>
    </row>
    <row r="237">
      <c r="A237" s="7" t="n">
        <v>44630</v>
      </c>
      <c r="B237" s="8" t="inlineStr">
        <is>
          <t>WITCHERY CHADSTONE CHADSTONE</t>
        </is>
      </c>
      <c r="C237" s="9" t="n">
        <v>179.95</v>
      </c>
      <c r="D237" s="10" t="inlineStr"/>
      <c r="E237" s="8" t="inlineStr">
        <is>
          <t>VICKI ZERTOPOULOS</t>
        </is>
      </c>
      <c r="F237" s="8" t="inlineStr">
        <is>
          <t>2022-03-22</t>
        </is>
      </c>
      <c r="G237" s="8" t="inlineStr"/>
    </row>
    <row r="238">
      <c r="A238" s="7" t="n">
        <v>44674</v>
      </c>
      <c r="B238" s="8" t="inlineStr">
        <is>
          <t>WITCHERY CHADSTONE CHADSTONE</t>
        </is>
      </c>
      <c r="C238" s="9" t="n">
        <v>259.9</v>
      </c>
      <c r="D238" s="10" t="inlineStr"/>
      <c r="E238" s="8" t="inlineStr">
        <is>
          <t>VICKI ZERTOPOULOS</t>
        </is>
      </c>
      <c r="F238" s="8" t="inlineStr">
        <is>
          <t>2022-05-22</t>
        </is>
      </c>
      <c r="G238" s="8" t="inlineStr"/>
    </row>
    <row r="239">
      <c r="A239" s="7" t="n">
        <v>44681</v>
      </c>
      <c r="B239" s="8" t="inlineStr">
        <is>
          <t>WITCHERY CHADSTONE CHADSTONE</t>
        </is>
      </c>
      <c r="C239" s="9" t="n">
        <v>89.90000000000001</v>
      </c>
      <c r="D239" s="10" t="inlineStr"/>
      <c r="E239" s="8" t="inlineStr">
        <is>
          <t>VICKI ZERTOPOULOS</t>
        </is>
      </c>
      <c r="F239" s="8" t="inlineStr">
        <is>
          <t>2022-05-22</t>
        </is>
      </c>
      <c r="G239" s="8" t="inlineStr"/>
    </row>
    <row r="240">
      <c r="A240" s="7" t="n">
        <v>44682</v>
      </c>
      <c r="B240" s="8" t="inlineStr">
        <is>
          <t>WITCHERY CHADSTONE CHADSTONE</t>
        </is>
      </c>
      <c r="C240" s="9" t="n">
        <v>374.94</v>
      </c>
      <c r="D240" s="10" t="inlineStr"/>
      <c r="E240" s="8" t="inlineStr">
        <is>
          <t>VICKI ZERTOPOULOS</t>
        </is>
      </c>
      <c r="F240" s="8" t="inlineStr">
        <is>
          <t>2022-05-22</t>
        </is>
      </c>
      <c r="G240" s="8" t="inlineStr"/>
    </row>
    <row r="241">
      <c r="A241" s="7" t="n">
        <v>44686</v>
      </c>
      <c r="B241" s="8" t="inlineStr">
        <is>
          <t>WITCHERY CHADSTONE CHADSTONE</t>
        </is>
      </c>
      <c r="C241" s="9" t="n">
        <v>89.95</v>
      </c>
      <c r="D241" s="10" t="inlineStr"/>
      <c r="E241" s="8" t="inlineStr">
        <is>
          <t>VICKI ZERTOPOULOS</t>
        </is>
      </c>
      <c r="F241" s="8" t="inlineStr">
        <is>
          <t>2022-05-22</t>
        </is>
      </c>
      <c r="G241" s="8" t="inlineStr"/>
    </row>
    <row r="242">
      <c r="A242" s="7" t="n">
        <v>44412</v>
      </c>
      <c r="B242" s="8" t="inlineStr">
        <is>
          <t>WITCHERY DONCASTER DONCASTER</t>
        </is>
      </c>
      <c r="C242" s="9" t="n">
        <v>251.89</v>
      </c>
      <c r="D242" s="10" t="inlineStr"/>
      <c r="E242" s="8" t="inlineStr">
        <is>
          <t>VICKI ZERTOPOULOS</t>
        </is>
      </c>
      <c r="F242" s="8" t="inlineStr">
        <is>
          <t>2021-08-22</t>
        </is>
      </c>
      <c r="G242" s="8" t="inlineStr"/>
    </row>
    <row r="243">
      <c r="A243" s="7" t="n">
        <v>44523</v>
      </c>
      <c r="B243" s="8" t="inlineStr">
        <is>
          <t>WITCHERY FRANKSTON FRANKSTON</t>
        </is>
      </c>
      <c r="C243" s="9" t="n">
        <v>35.95</v>
      </c>
      <c r="D243" s="10" t="inlineStr"/>
      <c r="E243" s="8" t="inlineStr">
        <is>
          <t>VICKI ZERTOPOULOS</t>
        </is>
      </c>
      <c r="F243" s="8" t="inlineStr">
        <is>
          <t>2021-12-22</t>
        </is>
      </c>
      <c r="G243" s="8" t="inlineStr"/>
    </row>
    <row r="244">
      <c r="B244" s="11" t="inlineStr">
        <is>
          <t>TOTAL (all rows above)</t>
        </is>
      </c>
      <c r="C244" s="12">
        <f>SUM(C5:C243)</f>
        <v/>
      </c>
      <c r="D244" s="13">
        <f>SUMIF(D5:D243,"Y",C5:C243)</f>
        <v/>
      </c>
    </row>
    <row r="245">
      <c r="B245" s="14" t="inlineStr">
        <is>
          <t>↑ col C = total of listed items; col D = total you've marked 'Y' (business)</t>
        </is>
      </c>
    </row>
  </sheetData>
  <autoFilter ref="A4:G24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  <col width="20" customWidth="1" min="5" max="5"/>
    <col width="13" customWidth="1" min="6" max="6"/>
    <col width="50" customWidth="1" min="7" max="7"/>
  </cols>
  <sheetData>
    <row r="1">
      <c r="A1" s="4" t="inlineStr">
        <is>
          <t>Financial Year 2021-22 (1 Jul 2021 – 30 Jun 2022) — Auto-flagged as Stylecolab (confirm or change to N)</t>
        </is>
      </c>
    </row>
    <row r="2">
      <c r="A2" s="5" t="inlineStr">
        <is>
          <t>Put Y (business) or N (personal) in the 'Business?' column. Items are grouped by merchant so you can decide similar ones together.</t>
        </is>
      </c>
    </row>
    <row r="4">
      <c r="A4" s="6" t="inlineStr">
        <is>
          <t>Date</t>
        </is>
      </c>
      <c r="B4" s="6" t="inlineStr">
        <is>
          <t>Merchant &amp; Location</t>
        </is>
      </c>
      <c r="C4" s="6" t="inlineStr">
        <is>
          <t>Amount (AUD)</t>
        </is>
      </c>
      <c r="D4" s="6" t="inlineStr">
        <is>
          <t>Business? (Y/N)</t>
        </is>
      </c>
      <c r="E4" s="6" t="inlineStr">
        <is>
          <t>Cardholder</t>
        </is>
      </c>
      <c r="F4" s="6" t="inlineStr">
        <is>
          <t>Source Stmt</t>
        </is>
      </c>
      <c r="G4" s="6" t="inlineStr">
        <is>
          <t>Notes</t>
        </is>
      </c>
    </row>
    <row r="5">
      <c r="A5" s="7" t="n">
        <v>44476</v>
      </c>
      <c r="B5" s="8" t="inlineStr">
        <is>
          <t>ACTIVECAMPAIGN CHICAGO</t>
        </is>
      </c>
      <c r="C5" s="9" t="n">
        <v>733.5700000000001</v>
      </c>
      <c r="D5" s="15" t="inlineStr">
        <is>
          <t>Y</t>
        </is>
      </c>
      <c r="E5" s="8" t="inlineStr">
        <is>
          <t>VICKI ZERTOPOULOS</t>
        </is>
      </c>
      <c r="F5" s="8" t="inlineStr">
        <is>
          <t>2021-10-22</t>
        </is>
      </c>
      <c r="G5" s="8" t="inlineStr">
        <is>
          <t>AUD 733.57 includes conversion commission of AUD 21.37</t>
        </is>
      </c>
    </row>
    <row r="6">
      <c r="A6" s="7" t="n">
        <v>44710</v>
      </c>
      <c r="B6" s="8" t="inlineStr">
        <is>
          <t>AMZN DIGITAL 503-7150002</t>
        </is>
      </c>
      <c r="C6" s="9" t="n">
        <v>13.99</v>
      </c>
      <c r="D6" s="15" t="inlineStr">
        <is>
          <t>Y</t>
        </is>
      </c>
      <c r="E6" s="8" t="inlineStr">
        <is>
          <t>VICKI ZERTOPOULOS</t>
        </is>
      </c>
      <c r="F6" s="8" t="inlineStr">
        <is>
          <t>2022-06-22</t>
        </is>
      </c>
      <c r="G6" s="8" t="inlineStr"/>
    </row>
    <row r="7">
      <c r="A7" s="7" t="n">
        <v>44712</v>
      </c>
      <c r="B7" s="8" t="inlineStr">
        <is>
          <t>BESPOKE COLLECTIVE ROCHEDALE SOU</t>
        </is>
      </c>
      <c r="C7" s="9" t="n">
        <v>180.45</v>
      </c>
      <c r="D7" s="15" t="inlineStr">
        <is>
          <t>Y</t>
        </is>
      </c>
      <c r="E7" s="8" t="inlineStr">
        <is>
          <t>VICKI ZERTOPOULOS</t>
        </is>
      </c>
      <c r="F7" s="8" t="inlineStr">
        <is>
          <t>2022-06-22</t>
        </is>
      </c>
      <c r="G7" s="8" t="inlineStr"/>
    </row>
    <row r="8">
      <c r="A8" s="7" t="n">
        <v>44379</v>
      </c>
      <c r="B8" s="8" t="inlineStr">
        <is>
          <t>CABCHARGE AUSTRALIA DARLINGHURST</t>
        </is>
      </c>
      <c r="C8" s="9" t="n">
        <v>44.52</v>
      </c>
      <c r="D8" s="15" t="inlineStr">
        <is>
          <t>Y</t>
        </is>
      </c>
      <c r="E8" s="8" t="inlineStr">
        <is>
          <t>VICKI ZERTOPOULOS</t>
        </is>
      </c>
      <c r="F8" s="8" t="inlineStr">
        <is>
          <t>2021-07-22</t>
        </is>
      </c>
      <c r="G8" s="8" t="inlineStr"/>
    </row>
    <row r="9">
      <c r="A9" s="7" t="n">
        <v>44472</v>
      </c>
      <c r="B9" s="8" t="inlineStr">
        <is>
          <t>CLICKFUNNELS.COM EAGLE</t>
        </is>
      </c>
      <c r="C9" s="9" t="n">
        <v>28.63</v>
      </c>
      <c r="D9" s="15" t="inlineStr">
        <is>
          <t>Y</t>
        </is>
      </c>
      <c r="E9" s="8" t="inlineStr">
        <is>
          <t>VICKI ZERTOPOULOS</t>
        </is>
      </c>
      <c r="F9" s="8" t="inlineStr">
        <is>
          <t>2021-10-22</t>
        </is>
      </c>
      <c r="G9" s="8" t="inlineStr">
        <is>
          <t>AUD 28.63 includes conversion commission of AUD .83</t>
        </is>
      </c>
    </row>
    <row r="10">
      <c r="A10" s="7" t="n">
        <v>44516</v>
      </c>
      <c r="B10" s="8" t="inlineStr">
        <is>
          <t>CLICKFUNNELS.COM EAGLE</t>
        </is>
      </c>
      <c r="C10" s="9" t="n">
        <v>136.02</v>
      </c>
      <c r="D10" s="15" t="inlineStr">
        <is>
          <t>Y</t>
        </is>
      </c>
      <c r="E10" s="8" t="inlineStr">
        <is>
          <t>VICKI ZERTOPOULOS</t>
        </is>
      </c>
      <c r="F10" s="8" t="inlineStr">
        <is>
          <t>2021-11-22</t>
        </is>
      </c>
      <c r="G10" s="8" t="inlineStr">
        <is>
          <t>AUD 136.02 includes conversion commission of AUD 3.96</t>
        </is>
      </c>
    </row>
    <row r="11">
      <c r="A11" s="7" t="n">
        <v>44546</v>
      </c>
      <c r="B11" s="8" t="inlineStr">
        <is>
          <t>CLICKFUNNELS.COM EAGLE</t>
        </is>
      </c>
      <c r="C11" s="9" t="n">
        <v>140.56</v>
      </c>
      <c r="D11" s="15" t="inlineStr">
        <is>
          <t>Y</t>
        </is>
      </c>
      <c r="E11" s="8" t="inlineStr">
        <is>
          <t>VICKI ZERTOPOULOS</t>
        </is>
      </c>
      <c r="F11" s="8" t="inlineStr">
        <is>
          <t>2021-12-22</t>
        </is>
      </c>
      <c r="G11" s="8" t="inlineStr">
        <is>
          <t>AUD 140.56 includes conversion commission of AUD 4.09</t>
        </is>
      </c>
    </row>
    <row r="12">
      <c r="A12" s="7" t="n">
        <v>44577</v>
      </c>
      <c r="B12" s="8" t="inlineStr">
        <is>
          <t>CLICKFUNNELS.COM EAGLE</t>
        </is>
      </c>
      <c r="C12" s="9" t="n">
        <v>138.22</v>
      </c>
      <c r="D12" s="15" t="inlineStr">
        <is>
          <t>Y</t>
        </is>
      </c>
      <c r="E12" s="8" t="inlineStr">
        <is>
          <t>VICKI ZERTOPOULOS</t>
        </is>
      </c>
      <c r="F12" s="8" t="inlineStr">
        <is>
          <t>2022-01-22</t>
        </is>
      </c>
      <c r="G12" s="8" t="inlineStr">
        <is>
          <t>AUD 138.22 includes conversion commission of AUD 4.03</t>
        </is>
      </c>
    </row>
    <row r="13">
      <c r="A13" s="7" t="n">
        <v>44608</v>
      </c>
      <c r="B13" s="8" t="inlineStr">
        <is>
          <t>CLICKFUNNELS.COM EAGLE</t>
        </is>
      </c>
      <c r="C13" s="9" t="n">
        <v>140.54</v>
      </c>
      <c r="D13" s="15" t="inlineStr">
        <is>
          <t>Y</t>
        </is>
      </c>
      <c r="E13" s="8" t="inlineStr">
        <is>
          <t>VICKI ZERTOPOULOS</t>
        </is>
      </c>
      <c r="F13" s="8" t="inlineStr">
        <is>
          <t>2022-02-22</t>
        </is>
      </c>
      <c r="G13" s="8" t="inlineStr">
        <is>
          <t>AUD 140.54 includes conversion commission of AUD 4.09</t>
        </is>
      </c>
    </row>
    <row r="14">
      <c r="A14" s="7" t="n">
        <v>44636</v>
      </c>
      <c r="B14" s="8" t="inlineStr">
        <is>
          <t>CLICKFUNNELS.COM EAGLE</t>
        </is>
      </c>
      <c r="C14" s="9" t="n">
        <v>138.49</v>
      </c>
      <c r="D14" s="15" t="inlineStr">
        <is>
          <t>Y</t>
        </is>
      </c>
      <c r="E14" s="8" t="inlineStr">
        <is>
          <t>VICKI ZERTOPOULOS</t>
        </is>
      </c>
      <c r="F14" s="8" t="inlineStr">
        <is>
          <t>2022-03-22</t>
        </is>
      </c>
      <c r="G14" s="8" t="inlineStr">
        <is>
          <t>AUD 138.49 includes conversion commission of AUD 4.03</t>
        </is>
      </c>
    </row>
    <row r="15">
      <c r="A15" s="7" t="n">
        <v>44667</v>
      </c>
      <c r="B15" s="8" t="inlineStr">
        <is>
          <t>CLICKFUNNELS.COM EAGLE</t>
        </is>
      </c>
      <c r="C15" s="9" t="n">
        <v>135.08</v>
      </c>
      <c r="D15" s="15" t="inlineStr">
        <is>
          <t>Y</t>
        </is>
      </c>
      <c r="E15" s="8" t="inlineStr">
        <is>
          <t>VICKI ZERTOPOULOS</t>
        </is>
      </c>
      <c r="F15" s="8" t="inlineStr">
        <is>
          <t>2022-04-22</t>
        </is>
      </c>
      <c r="G15" s="8" t="inlineStr">
        <is>
          <t>AUD 135.08 includes conversion commission of AUD 3.93</t>
        </is>
      </c>
    </row>
    <row r="16">
      <c r="A16" s="7" t="n">
        <v>44697</v>
      </c>
      <c r="B16" s="8" t="inlineStr">
        <is>
          <t>CLICKFUNNELS.COM EAGLE</t>
        </is>
      </c>
      <c r="C16" s="9" t="n">
        <v>145.13</v>
      </c>
      <c r="D16" s="15" t="inlineStr">
        <is>
          <t>Y</t>
        </is>
      </c>
      <c r="E16" s="8" t="inlineStr">
        <is>
          <t>VICKI ZERTOPOULOS</t>
        </is>
      </c>
      <c r="F16" s="8" t="inlineStr">
        <is>
          <t>2022-05-22</t>
        </is>
      </c>
      <c r="G16" s="8" t="inlineStr">
        <is>
          <t>AUD 145.13 includes conversion commission of AUD 4.23</t>
        </is>
      </c>
    </row>
    <row r="17">
      <c r="A17" s="7" t="n">
        <v>44728</v>
      </c>
      <c r="B17" s="8" t="inlineStr">
        <is>
          <t>CLICKFUNNELS.COM EAGLE</t>
        </is>
      </c>
      <c r="C17" s="9" t="n">
        <v>143.92</v>
      </c>
      <c r="D17" s="15" t="inlineStr">
        <is>
          <t>Y</t>
        </is>
      </c>
      <c r="E17" s="8" t="inlineStr">
        <is>
          <t>VICKI ZERTOPOULOS</t>
        </is>
      </c>
      <c r="F17" s="8" t="inlineStr">
        <is>
          <t>2022-06-22</t>
        </is>
      </c>
      <c r="G17" s="8" t="inlineStr">
        <is>
          <t>AUD 143.92 includes conversion commission of AUD 4.19</t>
        </is>
      </c>
    </row>
    <row r="18">
      <c r="A18" s="7" t="n">
        <v>44730</v>
      </c>
      <c r="B18" s="8" t="inlineStr">
        <is>
          <t>DAVID JONES BOURKE STRE MELBOURNE</t>
        </is>
      </c>
      <c r="C18" s="9" t="n">
        <v>223.36</v>
      </c>
      <c r="D18" s="15" t="inlineStr">
        <is>
          <t>Y</t>
        </is>
      </c>
      <c r="E18" s="8" t="inlineStr">
        <is>
          <t>VICKI ZERTOPOULOS</t>
        </is>
      </c>
      <c r="F18" s="8" t="inlineStr">
        <is>
          <t>2022-06-22</t>
        </is>
      </c>
      <c r="G18" s="8" t="inlineStr">
        <is>
          <t>3 Months Pay Later 320100573195 WW Aus Designer 279.20; 320100573195 DISCOUNT 55.84CR</t>
        </is>
      </c>
    </row>
    <row r="19">
      <c r="A19" s="7" t="n">
        <v>44730</v>
      </c>
      <c r="B19" s="8" t="inlineStr">
        <is>
          <t>DAVID JONES BOURKE STRE MELBOURNE</t>
        </is>
      </c>
      <c r="C19" s="9" t="n">
        <v>216.96</v>
      </c>
      <c r="D19" s="15" t="inlineStr">
        <is>
          <t>Y</t>
        </is>
      </c>
      <c r="E19" s="8" t="inlineStr">
        <is>
          <t>VICKI ZERTOPOULOS</t>
        </is>
      </c>
      <c r="F19" s="8" t="inlineStr">
        <is>
          <t>2022-06-22</t>
        </is>
      </c>
      <c r="G19" s="8" t="inlineStr">
        <is>
          <t>3 Months Pay Later 320101736579 W Contemp Shoes 271.20; 320101736579 DISCOUNT 54.24CR</t>
        </is>
      </c>
    </row>
    <row r="20">
      <c r="A20" s="7" t="n">
        <v>44730</v>
      </c>
      <c r="B20" s="8" t="inlineStr">
        <is>
          <t>DAVID JONES BOURKE STRE MELBOURNE</t>
        </is>
      </c>
      <c r="C20" s="9" t="n">
        <v>216.96</v>
      </c>
      <c r="D20" s="15" t="inlineStr">
        <is>
          <t>Y</t>
        </is>
      </c>
      <c r="E20" s="8" t="inlineStr">
        <is>
          <t>VICKI ZERTOPOULOS</t>
        </is>
      </c>
      <c r="F20" s="8" t="inlineStr">
        <is>
          <t>2022-06-22</t>
        </is>
      </c>
      <c r="G20" s="8" t="inlineStr">
        <is>
          <t>3 Months Pay Later 320101736582 W Contemp Shoes 271.20; 320101736582 DISCOUNT 54.24CR</t>
        </is>
      </c>
    </row>
    <row r="21">
      <c r="A21" s="7" t="n">
        <v>44730</v>
      </c>
      <c r="B21" s="8" t="inlineStr">
        <is>
          <t>DAVID JONES BOURKE STRE MELBOURNE</t>
        </is>
      </c>
      <c r="C21" s="9" t="n">
        <v>114.56</v>
      </c>
      <c r="D21" s="15" t="inlineStr">
        <is>
          <t>Y</t>
        </is>
      </c>
      <c r="E21" s="8" t="inlineStr">
        <is>
          <t>VICKI ZERTOPOULOS</t>
        </is>
      </c>
      <c r="F21" s="8" t="inlineStr">
        <is>
          <t>2022-06-22</t>
        </is>
      </c>
      <c r="G21" s="8" t="inlineStr">
        <is>
          <t>3 Months Pay Later 320100573170 WW Import Fashi 143.20; 320100573170 DISCOUNT 28.64CR</t>
        </is>
      </c>
    </row>
    <row r="22">
      <c r="A22" s="7" t="n">
        <v>44738</v>
      </c>
      <c r="B22" s="8" t="inlineStr">
        <is>
          <t>DAVID JONES BOURKE STRE MELBOURNE</t>
        </is>
      </c>
      <c r="C22" s="9" t="n">
        <v>479.2</v>
      </c>
      <c r="D22" s="15" t="inlineStr">
        <is>
          <t>Y</t>
        </is>
      </c>
      <c r="E22" s="8" t="inlineStr">
        <is>
          <t>VICKI ZERTOPOULOS</t>
        </is>
      </c>
      <c r="F22" s="8" t="inlineStr">
        <is>
          <t>2022-07-22</t>
        </is>
      </c>
      <c r="G22" s="8" t="inlineStr">
        <is>
          <t>3 Months Pay Later 320101254504 P R L Womens 599.00; 320101254504 DISCOUNT 119.80CR</t>
        </is>
      </c>
    </row>
    <row r="23">
      <c r="A23" s="7" t="n">
        <v>44708</v>
      </c>
      <c r="B23" s="8" t="inlineStr">
        <is>
          <t>DAVID JONES DONCASTER - DONCASTER</t>
        </is>
      </c>
      <c r="C23" s="9" t="n">
        <v>244.86</v>
      </c>
      <c r="D23" s="15" t="inlineStr">
        <is>
          <t>Y</t>
        </is>
      </c>
      <c r="E23" s="8" t="inlineStr">
        <is>
          <t>VICKI ZERTOPOULOS</t>
        </is>
      </c>
      <c r="F23" s="8" t="inlineStr">
        <is>
          <t>2022-06-22</t>
        </is>
      </c>
      <c r="G23" s="8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24">
      <c r="A24" s="7" t="n">
        <v>44740</v>
      </c>
      <c r="B24" s="8" t="inlineStr">
        <is>
          <t>KINDLE UNLTD 503-7150002</t>
        </is>
      </c>
      <c r="C24" s="9" t="n">
        <v>13.99</v>
      </c>
      <c r="D24" s="15" t="inlineStr">
        <is>
          <t>Y</t>
        </is>
      </c>
      <c r="E24" s="8" t="inlineStr">
        <is>
          <t>VICKI ZERTOPOULOS</t>
        </is>
      </c>
      <c r="F24" s="8" t="inlineStr">
        <is>
          <t>2022-07-22</t>
        </is>
      </c>
      <c r="G24" s="8" t="inlineStr"/>
    </row>
    <row r="25">
      <c r="A25" s="7" t="n">
        <v>44738</v>
      </c>
      <c r="B25" s="8" t="inlineStr">
        <is>
          <t>MSFT *&lt;E0100J50QP&gt; MSBILL.INFO</t>
        </is>
      </c>
      <c r="C25" s="9" t="n">
        <v>6.05</v>
      </c>
      <c r="D25" s="15" t="inlineStr">
        <is>
          <t>Y</t>
        </is>
      </c>
      <c r="E25" s="8" t="inlineStr">
        <is>
          <t>VICKI ZERTOPOULOS</t>
        </is>
      </c>
      <c r="F25" s="8" t="inlineStr">
        <is>
          <t>2022-07-22</t>
        </is>
      </c>
      <c r="G25" s="8" t="inlineStr"/>
    </row>
    <row r="26">
      <c r="A26" s="7" t="n">
        <v>44385</v>
      </c>
      <c r="B26" s="8" t="inlineStr">
        <is>
          <t>MSFT *&lt;E0300F3CIM&gt; MSBILL.INFO</t>
        </is>
      </c>
      <c r="C26" s="9" t="n">
        <v>6.05</v>
      </c>
      <c r="D26" s="15" t="inlineStr">
        <is>
          <t>Y</t>
        </is>
      </c>
      <c r="E26" s="8" t="inlineStr">
        <is>
          <t>VICKI ZERTOPOULOS</t>
        </is>
      </c>
      <c r="F26" s="8" t="inlineStr">
        <is>
          <t>2021-07-22</t>
        </is>
      </c>
      <c r="G26" s="8" t="inlineStr"/>
    </row>
    <row r="27">
      <c r="A27" s="7" t="n">
        <v>44415</v>
      </c>
      <c r="B27" s="8" t="inlineStr">
        <is>
          <t>MSFT *&lt;E0300FFAXJ&gt; MSBILL.INFO</t>
        </is>
      </c>
      <c r="C27" s="9" t="n">
        <v>6.05</v>
      </c>
      <c r="D27" s="15" t="inlineStr">
        <is>
          <t>Y</t>
        </is>
      </c>
      <c r="E27" s="8" t="inlineStr">
        <is>
          <t>VICKI ZERTOPOULOS</t>
        </is>
      </c>
      <c r="F27" s="8" t="inlineStr">
        <is>
          <t>2021-08-22</t>
        </is>
      </c>
      <c r="G27" s="8" t="inlineStr"/>
    </row>
    <row r="28">
      <c r="A28" s="7" t="n">
        <v>44446</v>
      </c>
      <c r="B28" s="8" t="inlineStr">
        <is>
          <t>MSFT *&lt;E0300FRI3C&gt; MSBILL.INFO</t>
        </is>
      </c>
      <c r="C28" s="9" t="n">
        <v>6.05</v>
      </c>
      <c r="D28" s="15" t="inlineStr">
        <is>
          <t>Y</t>
        </is>
      </c>
      <c r="E28" s="8" t="inlineStr">
        <is>
          <t>VICKI ZERTOPOULOS</t>
        </is>
      </c>
      <c r="F28" s="8" t="inlineStr">
        <is>
          <t>2021-09-22</t>
        </is>
      </c>
      <c r="G28" s="8" t="inlineStr"/>
    </row>
    <row r="29">
      <c r="A29" s="7" t="n">
        <v>44476</v>
      </c>
      <c r="B29" s="8" t="inlineStr">
        <is>
          <t>MSFT *&lt;E0300G3QDR&gt; MSBILL.INFO</t>
        </is>
      </c>
      <c r="C29" s="9" t="n">
        <v>6.05</v>
      </c>
      <c r="D29" s="15" t="inlineStr">
        <is>
          <t>Y</t>
        </is>
      </c>
      <c r="E29" s="8" t="inlineStr">
        <is>
          <t>VICKI ZERTOPOULOS</t>
        </is>
      </c>
      <c r="F29" s="8" t="inlineStr">
        <is>
          <t>2021-10-22</t>
        </is>
      </c>
      <c r="G29" s="8" t="inlineStr"/>
    </row>
    <row r="30">
      <c r="A30" s="7" t="n">
        <v>44508</v>
      </c>
      <c r="B30" s="8" t="inlineStr">
        <is>
          <t>MSFT *&lt;E0300GGA70&gt; MSBILL.INFO</t>
        </is>
      </c>
      <c r="C30" s="9" t="n">
        <v>6.05</v>
      </c>
      <c r="D30" s="15" t="inlineStr">
        <is>
          <t>Y</t>
        </is>
      </c>
      <c r="E30" s="8" t="inlineStr">
        <is>
          <t>VICKI ZERTOPOULOS</t>
        </is>
      </c>
      <c r="F30" s="8" t="inlineStr">
        <is>
          <t>2021-11-22</t>
        </is>
      </c>
      <c r="G30" s="8" t="inlineStr"/>
    </row>
    <row r="31">
      <c r="A31" s="7" t="n">
        <v>44538</v>
      </c>
      <c r="B31" s="8" t="inlineStr">
        <is>
          <t>MSFT *&lt;E0300GT1QT&gt; MSBILL.INFO</t>
        </is>
      </c>
      <c r="C31" s="9" t="n">
        <v>6.05</v>
      </c>
      <c r="D31" s="15" t="inlineStr">
        <is>
          <t>Y</t>
        </is>
      </c>
      <c r="E31" s="8" t="inlineStr">
        <is>
          <t>VICKI ZERTOPOULOS</t>
        </is>
      </c>
      <c r="F31" s="8" t="inlineStr">
        <is>
          <t>2021-12-22</t>
        </is>
      </c>
      <c r="G31" s="8" t="inlineStr"/>
    </row>
    <row r="32">
      <c r="A32" s="7" t="n">
        <v>44569</v>
      </c>
      <c r="B32" s="8" t="inlineStr">
        <is>
          <t>MSFT *&lt;E0300H5ISV&gt; MSBILL.INFO</t>
        </is>
      </c>
      <c r="C32" s="9" t="n">
        <v>6.05</v>
      </c>
      <c r="D32" s="15" t="inlineStr">
        <is>
          <t>Y</t>
        </is>
      </c>
      <c r="E32" s="8" t="inlineStr">
        <is>
          <t>VICKI ZERTOPOULOS</t>
        </is>
      </c>
      <c r="F32" s="8" t="inlineStr">
        <is>
          <t>2022-01-22</t>
        </is>
      </c>
      <c r="G32" s="8" t="inlineStr"/>
    </row>
    <row r="33">
      <c r="A33" s="7" t="n">
        <v>44600</v>
      </c>
      <c r="B33" s="8" t="inlineStr">
        <is>
          <t>MSFT *&lt;E0300HIRZA&gt; MSBILL.INFO</t>
        </is>
      </c>
      <c r="C33" s="9" t="n">
        <v>6.05</v>
      </c>
      <c r="D33" s="15" t="inlineStr">
        <is>
          <t>Y</t>
        </is>
      </c>
      <c r="E33" s="8" t="inlineStr">
        <is>
          <t>VICKI ZERTOPOULOS</t>
        </is>
      </c>
      <c r="F33" s="8" t="inlineStr">
        <is>
          <t>2022-02-22</t>
        </is>
      </c>
      <c r="G33" s="8" t="inlineStr"/>
    </row>
    <row r="34">
      <c r="A34" s="7" t="n">
        <v>44628</v>
      </c>
      <c r="B34" s="8" t="inlineStr">
        <is>
          <t>MSFT *&lt;E0300HVRCG&gt; MSBILL.INFO</t>
        </is>
      </c>
      <c r="C34" s="9" t="n">
        <v>6.05</v>
      </c>
      <c r="D34" s="15" t="inlineStr">
        <is>
          <t>Y</t>
        </is>
      </c>
      <c r="E34" s="8" t="inlineStr">
        <is>
          <t>VICKI ZERTOPOULOS</t>
        </is>
      </c>
      <c r="F34" s="8" t="inlineStr">
        <is>
          <t>2022-03-22</t>
        </is>
      </c>
      <c r="G34" s="8" t="inlineStr"/>
    </row>
    <row r="35">
      <c r="A35" s="7" t="n">
        <v>44659</v>
      </c>
      <c r="B35" s="8" t="inlineStr">
        <is>
          <t>MSFT *&lt;E0300I8SSS&gt; MSBILL.INFO</t>
        </is>
      </c>
      <c r="C35" s="9" t="n">
        <v>6.05</v>
      </c>
      <c r="D35" s="15" t="inlineStr">
        <is>
          <t>Y</t>
        </is>
      </c>
      <c r="E35" s="8" t="inlineStr">
        <is>
          <t>VICKI ZERTOPOULOS</t>
        </is>
      </c>
      <c r="F35" s="8" t="inlineStr">
        <is>
          <t>2022-04-22</t>
        </is>
      </c>
      <c r="G35" s="8" t="inlineStr"/>
    </row>
    <row r="36">
      <c r="A36" s="7" t="n">
        <v>44689</v>
      </c>
      <c r="B36" s="8" t="inlineStr">
        <is>
          <t>MSFT *&lt;E0300IMRWI&gt; MSBILL.INFO</t>
        </is>
      </c>
      <c r="C36" s="9" t="n">
        <v>6.05</v>
      </c>
      <c r="D36" s="15" t="inlineStr">
        <is>
          <t>Y</t>
        </is>
      </c>
      <c r="E36" s="8" t="inlineStr">
        <is>
          <t>VICKI ZERTOPOULOS</t>
        </is>
      </c>
      <c r="F36" s="8" t="inlineStr">
        <is>
          <t>2022-05-22</t>
        </is>
      </c>
      <c r="G36" s="8" t="inlineStr"/>
    </row>
    <row r="37">
      <c r="A37" s="7" t="n">
        <v>44471</v>
      </c>
      <c r="B37" s="8" t="inlineStr">
        <is>
          <t>MSFT *&lt;E0400FXNAN&gt; MSBILL.INFO</t>
        </is>
      </c>
      <c r="C37" s="9" t="n">
        <v>6.05</v>
      </c>
      <c r="D37" s="15" t="inlineStr">
        <is>
          <t>Y</t>
        </is>
      </c>
      <c r="E37" s="8" t="inlineStr">
        <is>
          <t>VICKI ZERTOPOULOS</t>
        </is>
      </c>
      <c r="F37" s="8" t="inlineStr">
        <is>
          <t>2021-10-22</t>
        </is>
      </c>
      <c r="G37" s="8" t="inlineStr"/>
    </row>
    <row r="38">
      <c r="A38" s="7" t="n">
        <v>44502</v>
      </c>
      <c r="B38" s="8" t="inlineStr">
        <is>
          <t>MSFT *&lt;E0400G9L6H&gt; MSBILL.INFO</t>
        </is>
      </c>
      <c r="C38" s="9" t="n">
        <v>6.05</v>
      </c>
      <c r="D38" s="15" t="inlineStr">
        <is>
          <t>Y</t>
        </is>
      </c>
      <c r="E38" s="8" t="inlineStr">
        <is>
          <t>VICKI ZERTOPOULOS</t>
        </is>
      </c>
      <c r="F38" s="8" t="inlineStr">
        <is>
          <t>2021-11-22</t>
        </is>
      </c>
      <c r="G38" s="8" t="inlineStr"/>
    </row>
    <row r="39">
      <c r="A39" s="7" t="n">
        <v>44532</v>
      </c>
      <c r="B39" s="8" t="inlineStr">
        <is>
          <t>MSFT *&lt;E0400GM6TZ&gt; MSBILL.INFO</t>
        </is>
      </c>
      <c r="C39" s="9" t="n">
        <v>6.05</v>
      </c>
      <c r="D39" s="15" t="inlineStr">
        <is>
          <t>Y</t>
        </is>
      </c>
      <c r="E39" s="8" t="inlineStr">
        <is>
          <t>VICKI ZERTOPOULOS</t>
        </is>
      </c>
      <c r="F39" s="8" t="inlineStr">
        <is>
          <t>2021-12-22</t>
        </is>
      </c>
      <c r="G39" s="8" t="inlineStr"/>
    </row>
    <row r="40">
      <c r="A40" s="7" t="n">
        <v>44563</v>
      </c>
      <c r="B40" s="8" t="inlineStr">
        <is>
          <t>MSFT *&lt;E0400GYVMI&gt; MSBILL.INFO</t>
        </is>
      </c>
      <c r="C40" s="9" t="n">
        <v>6.05</v>
      </c>
      <c r="D40" s="15" t="inlineStr">
        <is>
          <t>Y</t>
        </is>
      </c>
      <c r="E40" s="8" t="inlineStr">
        <is>
          <t>VICKI ZERTOPOULOS</t>
        </is>
      </c>
      <c r="F40" s="8" t="inlineStr">
        <is>
          <t>2022-01-22</t>
        </is>
      </c>
      <c r="G40" s="8" t="inlineStr"/>
    </row>
    <row r="41">
      <c r="A41" s="7" t="n">
        <v>44594</v>
      </c>
      <c r="B41" s="8" t="inlineStr">
        <is>
          <t>MSFT *&lt;E0400HBNQE&gt; MSBILL.INFO</t>
        </is>
      </c>
      <c r="C41" s="9" t="n">
        <v>6.05</v>
      </c>
      <c r="D41" s="15" t="inlineStr">
        <is>
          <t>Y</t>
        </is>
      </c>
      <c r="E41" s="8" t="inlineStr">
        <is>
          <t>VICKI ZERTOPOULOS</t>
        </is>
      </c>
      <c r="F41" s="8" t="inlineStr">
        <is>
          <t>2022-02-22</t>
        </is>
      </c>
      <c r="G41" s="8" t="inlineStr"/>
    </row>
    <row r="42">
      <c r="A42" s="7" t="n">
        <v>44622</v>
      </c>
      <c r="B42" s="8" t="inlineStr">
        <is>
          <t>MSFT *&lt;E0400HOLGL&gt; MSBILL.INFO</t>
        </is>
      </c>
      <c r="C42" s="9" t="n">
        <v>6.05</v>
      </c>
      <c r="D42" s="15" t="inlineStr">
        <is>
          <t>Y</t>
        </is>
      </c>
      <c r="E42" s="8" t="inlineStr">
        <is>
          <t>VICKI ZERTOPOULOS</t>
        </is>
      </c>
      <c r="F42" s="8" t="inlineStr">
        <is>
          <t>2022-03-22</t>
        </is>
      </c>
      <c r="G42" s="8" t="inlineStr"/>
    </row>
    <row r="43">
      <c r="A43" s="7" t="n">
        <v>44653</v>
      </c>
      <c r="B43" s="8" t="inlineStr">
        <is>
          <t>MSFT *&lt;E0400I1C0P&gt; MSBILL.INFO</t>
        </is>
      </c>
      <c r="C43" s="9" t="n">
        <v>6.05</v>
      </c>
      <c r="D43" s="15" t="inlineStr">
        <is>
          <t>Y</t>
        </is>
      </c>
      <c r="E43" s="8" t="inlineStr">
        <is>
          <t>VICKI ZERTOPOULOS</t>
        </is>
      </c>
      <c r="F43" s="8" t="inlineStr">
        <is>
          <t>2022-04-22</t>
        </is>
      </c>
      <c r="G43" s="8" t="inlineStr"/>
    </row>
    <row r="44">
      <c r="A44" s="7" t="n">
        <v>44683</v>
      </c>
      <c r="B44" s="8" t="inlineStr">
        <is>
          <t>MSFT *&lt;E0400IEMO1&gt; MSBILL.INFO</t>
        </is>
      </c>
      <c r="C44" s="9" t="n">
        <v>6.05</v>
      </c>
      <c r="D44" s="15" t="inlineStr">
        <is>
          <t>Y</t>
        </is>
      </c>
      <c r="E44" s="8" t="inlineStr">
        <is>
          <t>VICKI ZERTOPOULOS</t>
        </is>
      </c>
      <c r="F44" s="8" t="inlineStr">
        <is>
          <t>2022-05-22</t>
        </is>
      </c>
      <c r="G44" s="8" t="inlineStr"/>
    </row>
    <row r="45">
      <c r="A45" s="7" t="n">
        <v>44423</v>
      </c>
      <c r="B45" s="8" t="inlineStr">
        <is>
          <t>NETREGISTRY ULTIMO</t>
        </is>
      </c>
      <c r="C45" s="9" t="n">
        <v>28.5</v>
      </c>
      <c r="D45" s="15" t="inlineStr">
        <is>
          <t>Y</t>
        </is>
      </c>
      <c r="E45" s="8" t="inlineStr">
        <is>
          <t>VICKI ZERTOPOULOS</t>
        </is>
      </c>
      <c r="F45" s="8" t="inlineStr">
        <is>
          <t>2021-08-22</t>
        </is>
      </c>
      <c r="G45" s="8" t="inlineStr"/>
    </row>
    <row r="46">
      <c r="A46" s="7" t="n">
        <v>44423</v>
      </c>
      <c r="B46" s="8" t="inlineStr">
        <is>
          <t>NETREGISTRY ULTIMO</t>
        </is>
      </c>
      <c r="C46" s="9" t="n">
        <v>41.85</v>
      </c>
      <c r="D46" s="15" t="inlineStr">
        <is>
          <t>Y</t>
        </is>
      </c>
      <c r="E46" s="8" t="inlineStr">
        <is>
          <t>VICKI ZERTOPOULOS</t>
        </is>
      </c>
      <c r="F46" s="8" t="inlineStr">
        <is>
          <t>2021-08-22</t>
        </is>
      </c>
      <c r="G46" s="8" t="inlineStr"/>
    </row>
    <row r="47">
      <c r="A47" s="7" t="n">
        <v>44423</v>
      </c>
      <c r="B47" s="8" t="inlineStr">
        <is>
          <t>NETREGISTRY ULTIMO</t>
        </is>
      </c>
      <c r="C47" s="9" t="n">
        <v>28.5</v>
      </c>
      <c r="D47" s="15" t="inlineStr">
        <is>
          <t>Y</t>
        </is>
      </c>
      <c r="E47" s="8" t="inlineStr">
        <is>
          <t>VICKI ZERTOPOULOS</t>
        </is>
      </c>
      <c r="F47" s="8" t="inlineStr">
        <is>
          <t>2021-08-22</t>
        </is>
      </c>
      <c r="G47" s="8" t="inlineStr"/>
    </row>
    <row r="48">
      <c r="A48" s="7" t="n">
        <v>44423</v>
      </c>
      <c r="B48" s="8" t="inlineStr">
        <is>
          <t>NETREGISTRY ULTIMO</t>
        </is>
      </c>
      <c r="C48" s="9" t="n">
        <v>28.5</v>
      </c>
      <c r="D48" s="15" t="inlineStr">
        <is>
          <t>Y</t>
        </is>
      </c>
      <c r="E48" s="8" t="inlineStr">
        <is>
          <t>VICKI ZERTOPOULOS</t>
        </is>
      </c>
      <c r="F48" s="8" t="inlineStr">
        <is>
          <t>2021-08-22</t>
        </is>
      </c>
      <c r="G48" s="8" t="inlineStr"/>
    </row>
    <row r="49">
      <c r="A49" s="7" t="n">
        <v>44498</v>
      </c>
      <c r="B49" s="8" t="inlineStr">
        <is>
          <t>NETREGISTRY ULTIMO</t>
        </is>
      </c>
      <c r="C49" s="9" t="n">
        <v>29.9</v>
      </c>
      <c r="D49" s="15" t="inlineStr">
        <is>
          <t>Y</t>
        </is>
      </c>
      <c r="E49" s="8" t="inlineStr">
        <is>
          <t>VICKI ZERTOPOULOS</t>
        </is>
      </c>
      <c r="F49" s="8" t="inlineStr">
        <is>
          <t>2021-11-22</t>
        </is>
      </c>
      <c r="G49" s="8" t="inlineStr"/>
    </row>
    <row r="50">
      <c r="A50" s="7" t="n">
        <v>44498</v>
      </c>
      <c r="B50" s="8" t="inlineStr">
        <is>
          <t>NETREGISTRY ULTIMO</t>
        </is>
      </c>
      <c r="C50" s="9" t="n">
        <v>28.5</v>
      </c>
      <c r="D50" s="15" t="inlineStr">
        <is>
          <t>Y</t>
        </is>
      </c>
      <c r="E50" s="8" t="inlineStr">
        <is>
          <t>VICKI ZERTOPOULOS</t>
        </is>
      </c>
      <c r="F50" s="8" t="inlineStr">
        <is>
          <t>2021-11-22</t>
        </is>
      </c>
      <c r="G50" s="8" t="inlineStr"/>
    </row>
    <row r="51">
      <c r="A51" s="7" t="n">
        <v>44536</v>
      </c>
      <c r="B51" s="8" t="inlineStr">
        <is>
          <t>NETREGISTRY ULTIMO</t>
        </is>
      </c>
      <c r="C51" s="9" t="n">
        <v>51.95</v>
      </c>
      <c r="D51" s="15" t="inlineStr">
        <is>
          <t>Y</t>
        </is>
      </c>
      <c r="E51" s="8" t="inlineStr">
        <is>
          <t>VICKI ZERTOPOULOS</t>
        </is>
      </c>
      <c r="F51" s="8" t="inlineStr">
        <is>
          <t>2021-12-22</t>
        </is>
      </c>
      <c r="G51" s="8" t="inlineStr"/>
    </row>
    <row r="52">
      <c r="A52" s="7" t="n">
        <v>44536</v>
      </c>
      <c r="B52" s="8" t="inlineStr">
        <is>
          <t>NETREGISTRY ULTIMO</t>
        </is>
      </c>
      <c r="C52" s="9" t="n">
        <v>51.95</v>
      </c>
      <c r="D52" s="15" t="inlineStr">
        <is>
          <t>Y</t>
        </is>
      </c>
      <c r="E52" s="8" t="inlineStr">
        <is>
          <t>VICKI ZERTOPOULOS</t>
        </is>
      </c>
      <c r="F52" s="8" t="inlineStr">
        <is>
          <t>2021-12-22</t>
        </is>
      </c>
      <c r="G52" s="8" t="inlineStr"/>
    </row>
    <row r="53">
      <c r="A53" s="7" t="n">
        <v>44536</v>
      </c>
      <c r="B53" s="8" t="inlineStr">
        <is>
          <t>NETREGISTRY ULTIMO</t>
        </is>
      </c>
      <c r="C53" s="9" t="n">
        <v>51.95</v>
      </c>
      <c r="D53" s="15" t="inlineStr">
        <is>
          <t>Y</t>
        </is>
      </c>
      <c r="E53" s="8" t="inlineStr">
        <is>
          <t>VICKI ZERTOPOULOS</t>
        </is>
      </c>
      <c r="F53" s="8" t="inlineStr">
        <is>
          <t>2021-12-22</t>
        </is>
      </c>
      <c r="G53" s="8" t="inlineStr"/>
    </row>
    <row r="54">
      <c r="A54" s="7" t="n">
        <v>44536</v>
      </c>
      <c r="B54" s="8" t="inlineStr">
        <is>
          <t>NETREGISTRY ULTIMO</t>
        </is>
      </c>
      <c r="C54" s="9" t="n">
        <v>28.95</v>
      </c>
      <c r="D54" s="15" t="inlineStr">
        <is>
          <t>Y</t>
        </is>
      </c>
      <c r="E54" s="8" t="inlineStr">
        <is>
          <t>VICKI ZERTOPOULOS</t>
        </is>
      </c>
      <c r="F54" s="8" t="inlineStr">
        <is>
          <t>2021-12-22</t>
        </is>
      </c>
      <c r="G54" s="8" t="inlineStr"/>
    </row>
    <row r="55">
      <c r="A55" s="7" t="n">
        <v>44705</v>
      </c>
      <c r="B55" s="8" t="inlineStr">
        <is>
          <t>NETREGISTRY ULTIMO</t>
        </is>
      </c>
      <c r="C55" s="9" t="n">
        <v>15.96</v>
      </c>
      <c r="D55" s="15" t="inlineStr">
        <is>
          <t>Y</t>
        </is>
      </c>
      <c r="E55" s="8" t="inlineStr">
        <is>
          <t>VICKI ZERTOPOULOS</t>
        </is>
      </c>
      <c r="F55" s="8" t="inlineStr">
        <is>
          <t>2022-06-22</t>
        </is>
      </c>
      <c r="G55" s="8" t="inlineStr"/>
    </row>
    <row r="56">
      <c r="A56" s="7" t="n">
        <v>44472</v>
      </c>
      <c r="B56" s="8" t="inlineStr">
        <is>
          <t>PAYPAL *ACTIVECAMPA 4029357733</t>
        </is>
      </c>
      <c r="C56" s="9" t="n">
        <v>154.63</v>
      </c>
      <c r="D56" s="15" t="inlineStr">
        <is>
          <t>Y</t>
        </is>
      </c>
      <c r="E56" s="8" t="inlineStr">
        <is>
          <t>VICKI ZERTOPOULOS</t>
        </is>
      </c>
      <c r="F56" s="8" t="inlineStr">
        <is>
          <t>2021-10-22</t>
        </is>
      </c>
      <c r="G56" s="8" t="inlineStr">
        <is>
          <t>AUD 154.63 includes conversion commission of AUD 4.50</t>
        </is>
      </c>
    </row>
    <row r="57">
      <c r="A57" s="7" t="n">
        <v>44501</v>
      </c>
      <c r="B57" s="8" t="inlineStr">
        <is>
          <t>PAYPAL *CANVAPTYLIM CAE 0000000000</t>
        </is>
      </c>
      <c r="C57" s="9" t="n">
        <v>164.99</v>
      </c>
      <c r="D57" s="15" t="inlineStr">
        <is>
          <t>Y</t>
        </is>
      </c>
      <c r="E57" s="8" t="inlineStr">
        <is>
          <t>VICKI ZERTOPOULOS</t>
        </is>
      </c>
      <c r="F57" s="8" t="inlineStr">
        <is>
          <t>2021-11-22</t>
        </is>
      </c>
      <c r="G57" s="8" t="inlineStr"/>
    </row>
    <row r="58">
      <c r="A58" s="7" t="n">
        <v>44723</v>
      </c>
      <c r="B58" s="8" t="inlineStr">
        <is>
          <t>PAYPAL *EBAY AU 8665403229</t>
        </is>
      </c>
      <c r="C58" s="9" t="n">
        <v>22.99</v>
      </c>
      <c r="D58" s="15" t="inlineStr">
        <is>
          <t>Y</t>
        </is>
      </c>
      <c r="E58" s="8" t="inlineStr">
        <is>
          <t>VICKI ZERTOPOULOS</t>
        </is>
      </c>
      <c r="F58" s="8" t="inlineStr">
        <is>
          <t>2022-06-22</t>
        </is>
      </c>
      <c r="G58" s="8" t="inlineStr"/>
    </row>
    <row r="59">
      <c r="A59" s="7" t="n">
        <v>44529</v>
      </c>
      <c r="B59" s="8" t="inlineStr">
        <is>
          <t>PAYPAL *KMARTAUSTRA 03990223028</t>
        </is>
      </c>
      <c r="C59" s="9" t="n">
        <v>104</v>
      </c>
      <c r="D59" s="15" t="inlineStr">
        <is>
          <t>Y</t>
        </is>
      </c>
      <c r="E59" s="8" t="inlineStr">
        <is>
          <t>VICKI ZERTOPOULOS</t>
        </is>
      </c>
      <c r="F59" s="8" t="inlineStr">
        <is>
          <t>2021-12-22</t>
        </is>
      </c>
      <c r="G59" s="8" t="inlineStr"/>
    </row>
    <row r="60">
      <c r="A60" s="7" t="n">
        <v>44577</v>
      </c>
      <c r="B60" s="8" t="inlineStr">
        <is>
          <t>PAYPAL *KMARTAUSTRA 03990223028</t>
        </is>
      </c>
      <c r="C60" s="9" t="n">
        <v>65</v>
      </c>
      <c r="D60" s="15" t="inlineStr">
        <is>
          <t>Y</t>
        </is>
      </c>
      <c r="E60" s="8" t="inlineStr">
        <is>
          <t>VICKI ZERTOPOULOS</t>
        </is>
      </c>
      <c r="F60" s="8" t="inlineStr">
        <is>
          <t>2022-01-22</t>
        </is>
      </c>
      <c r="G60" s="8" t="inlineStr"/>
    </row>
    <row r="61">
      <c r="A61" s="7" t="n">
        <v>44591</v>
      </c>
      <c r="B61" s="8" t="inlineStr">
        <is>
          <t>PAYPAL *KMARTAUSTRA 03990223028</t>
        </is>
      </c>
      <c r="C61" s="9" t="n">
        <v>50</v>
      </c>
      <c r="D61" s="15" t="inlineStr">
        <is>
          <t>Y</t>
        </is>
      </c>
      <c r="E61" s="8" t="inlineStr">
        <is>
          <t>VICKI ZERTOPOULOS</t>
        </is>
      </c>
      <c r="F61" s="8" t="inlineStr">
        <is>
          <t>2022-02-22</t>
        </is>
      </c>
      <c r="G61" s="8" t="inlineStr"/>
    </row>
    <row r="62">
      <c r="A62" s="7" t="n">
        <v>44619</v>
      </c>
      <c r="B62" s="8" t="inlineStr">
        <is>
          <t>PAYPAL *KMARTAUSTRA 03990223028</t>
        </is>
      </c>
      <c r="C62" s="9" t="n">
        <v>85</v>
      </c>
      <c r="D62" s="15" t="inlineStr">
        <is>
          <t>Y</t>
        </is>
      </c>
      <c r="E62" s="8" t="inlineStr">
        <is>
          <t>VICKI ZERTOPOULOS</t>
        </is>
      </c>
      <c r="F62" s="8" t="inlineStr">
        <is>
          <t>2022-03-22</t>
        </is>
      </c>
      <c r="G62" s="8" t="inlineStr"/>
    </row>
    <row r="63">
      <c r="A63" s="7" t="n">
        <v>44723</v>
      </c>
      <c r="B63" s="8" t="inlineStr">
        <is>
          <t>PAYPAL *KMARTAUSTRA 03990223028</t>
        </is>
      </c>
      <c r="C63" s="9" t="n">
        <v>54</v>
      </c>
      <c r="D63" s="15" t="inlineStr">
        <is>
          <t>Y</t>
        </is>
      </c>
      <c r="E63" s="8" t="inlineStr">
        <is>
          <t>VICKI ZERTOPOULOS</t>
        </is>
      </c>
      <c r="F63" s="8" t="inlineStr">
        <is>
          <t>2022-06-22</t>
        </is>
      </c>
      <c r="G63" s="8" t="inlineStr"/>
    </row>
    <row r="64">
      <c r="A64" s="7" t="n">
        <v>44652</v>
      </c>
      <c r="B64" s="8" t="inlineStr">
        <is>
          <t>PAYPAL *SCRIBD.COM 4152336230</t>
        </is>
      </c>
      <c r="C64" s="9" t="n">
        <v>12.39</v>
      </c>
      <c r="D64" s="15" t="inlineStr">
        <is>
          <t>Y</t>
        </is>
      </c>
      <c r="E64" s="8" t="inlineStr">
        <is>
          <t>VICKI ZERTOPOULOS</t>
        </is>
      </c>
      <c r="F64" s="8" t="inlineStr">
        <is>
          <t>2022-04-22</t>
        </is>
      </c>
      <c r="G64" s="8" t="inlineStr">
        <is>
          <t>AUD 12.39 includes conversion commission of AUD .36</t>
        </is>
      </c>
    </row>
    <row r="65">
      <c r="A65" s="7" t="n">
        <v>44682</v>
      </c>
      <c r="B65" s="8" t="inlineStr">
        <is>
          <t>PAYPAL *SCRIBD.COM 4152336230</t>
        </is>
      </c>
      <c r="C65" s="9" t="n">
        <v>13.05</v>
      </c>
      <c r="D65" s="15" t="inlineStr">
        <is>
          <t>Y</t>
        </is>
      </c>
      <c r="E65" s="8" t="inlineStr">
        <is>
          <t>VICKI ZERTOPOULOS</t>
        </is>
      </c>
      <c r="F65" s="8" t="inlineStr">
        <is>
          <t>2022-05-22</t>
        </is>
      </c>
      <c r="G65" s="8" t="inlineStr">
        <is>
          <t>AUD 13.05 includes conversion commission of AUD .38</t>
        </is>
      </c>
    </row>
    <row r="66">
      <c r="A66" s="7" t="n">
        <v>44713</v>
      </c>
      <c r="B66" s="8" t="inlineStr">
        <is>
          <t>PAYPAL *SCRIBD.COM 4152336230</t>
        </is>
      </c>
      <c r="C66" s="9" t="n">
        <v>12.92</v>
      </c>
      <c r="D66" s="15" t="inlineStr">
        <is>
          <t>Y</t>
        </is>
      </c>
      <c r="E66" s="8" t="inlineStr">
        <is>
          <t>VICKI ZERTOPOULOS</t>
        </is>
      </c>
      <c r="F66" s="8" t="inlineStr">
        <is>
          <t>2022-06-22</t>
        </is>
      </c>
      <c r="G66" s="8" t="inlineStr">
        <is>
          <t>AUD 12.92 includes conversion commission of AUD .38</t>
        </is>
      </c>
    </row>
    <row r="67">
      <c r="A67" s="7" t="n">
        <v>44510</v>
      </c>
      <c r="B67" s="8" t="inlineStr">
        <is>
          <t>PAYPAL *SHOPIFYCOMM 6132412828</t>
        </is>
      </c>
      <c r="C67" s="9" t="n">
        <v>481.73</v>
      </c>
      <c r="D67" s="15" t="inlineStr">
        <is>
          <t>Y</t>
        </is>
      </c>
      <c r="E67" s="8" t="inlineStr">
        <is>
          <t>VICKI ZERTOPOULOS</t>
        </is>
      </c>
      <c r="F67" s="8" t="inlineStr">
        <is>
          <t>2021-11-22</t>
        </is>
      </c>
      <c r="G67" s="8" t="inlineStr">
        <is>
          <t>AUD 481.73 includes conversion commission of AUD 14.03</t>
        </is>
      </c>
    </row>
    <row r="68">
      <c r="A68" s="7" t="n">
        <v>44566</v>
      </c>
      <c r="B68" s="8" t="inlineStr">
        <is>
          <t>SALVOS STORES - DROMANA DROMANA</t>
        </is>
      </c>
      <c r="C68" s="9" t="n">
        <v>19</v>
      </c>
      <c r="D68" s="15" t="inlineStr">
        <is>
          <t>Y</t>
        </is>
      </c>
      <c r="E68" s="8" t="inlineStr">
        <is>
          <t>VICKI ZERTOPOULOS</t>
        </is>
      </c>
      <c r="F68" s="8" t="inlineStr">
        <is>
          <t>2022-01-22</t>
        </is>
      </c>
      <c r="G68" s="8" t="inlineStr"/>
    </row>
    <row r="69">
      <c r="A69" s="7" t="n">
        <v>44501</v>
      </c>
      <c r="B69" s="8" t="inlineStr">
        <is>
          <t>SALVOS STORES KEW KEW</t>
        </is>
      </c>
      <c r="C69" s="9" t="n">
        <v>28.8</v>
      </c>
      <c r="D69" s="15" t="inlineStr">
        <is>
          <t>Y</t>
        </is>
      </c>
      <c r="E69" s="8" t="inlineStr">
        <is>
          <t>VICKI ZERTOPOULOS</t>
        </is>
      </c>
      <c r="F69" s="8" t="inlineStr">
        <is>
          <t>2021-11-22</t>
        </is>
      </c>
      <c r="G69" s="8" t="inlineStr"/>
    </row>
    <row r="70">
      <c r="A70" s="7" t="n">
        <v>44522</v>
      </c>
      <c r="B70" s="8" t="inlineStr">
        <is>
          <t>SALVOS STORES KEW KEW</t>
        </is>
      </c>
      <c r="C70" s="9" t="n">
        <v>9</v>
      </c>
      <c r="D70" s="15" t="inlineStr">
        <is>
          <t>Y</t>
        </is>
      </c>
      <c r="E70" s="8" t="inlineStr">
        <is>
          <t>VICKI ZERTOPOULOS</t>
        </is>
      </c>
      <c r="F70" s="8" t="inlineStr">
        <is>
          <t>2021-11-22</t>
        </is>
      </c>
      <c r="G70" s="8" t="inlineStr"/>
    </row>
    <row r="71">
      <c r="A71" s="7" t="n">
        <v>44655</v>
      </c>
      <c r="B71" s="8" t="inlineStr">
        <is>
          <t>SALVOS STORES KEW KEW</t>
        </is>
      </c>
      <c r="C71" s="9" t="n">
        <v>43.65</v>
      </c>
      <c r="D71" s="15" t="inlineStr">
        <is>
          <t>Y</t>
        </is>
      </c>
      <c r="E71" s="8" t="inlineStr">
        <is>
          <t>VICKI ZERTOPOULOS</t>
        </is>
      </c>
      <c r="F71" s="8" t="inlineStr">
        <is>
          <t>2022-04-22</t>
        </is>
      </c>
      <c r="G71" s="8" t="inlineStr"/>
    </row>
    <row r="72">
      <c r="A72" s="7" t="n">
        <v>44655</v>
      </c>
      <c r="B72" s="8" t="inlineStr">
        <is>
          <t>SALVOS STORES KEW KEW</t>
        </is>
      </c>
      <c r="C72" s="9" t="n">
        <v>5</v>
      </c>
      <c r="D72" s="15" t="inlineStr">
        <is>
          <t>Y</t>
        </is>
      </c>
      <c r="E72" s="8" t="inlineStr">
        <is>
          <t>VICKI ZERTOPOULOS</t>
        </is>
      </c>
      <c r="F72" s="8" t="inlineStr">
        <is>
          <t>2022-04-22</t>
        </is>
      </c>
      <c r="G72" s="8" t="inlineStr"/>
    </row>
    <row r="73">
      <c r="A73" s="7" t="n">
        <v>44657</v>
      </c>
      <c r="B73" s="8" t="inlineStr">
        <is>
          <t>SALVOS STORES KEW KEW</t>
        </is>
      </c>
      <c r="C73" s="9" t="n">
        <v>99.55</v>
      </c>
      <c r="D73" s="15" t="inlineStr">
        <is>
          <t>Y</t>
        </is>
      </c>
      <c r="E73" s="8" t="inlineStr">
        <is>
          <t>VICKI ZERTOPOULOS</t>
        </is>
      </c>
      <c r="F73" s="8" t="inlineStr">
        <is>
          <t>2022-04-22</t>
        </is>
      </c>
      <c r="G73" s="8" t="inlineStr"/>
    </row>
    <row r="74">
      <c r="A74" s="7" t="n">
        <v>44657</v>
      </c>
      <c r="B74" s="8" t="inlineStr">
        <is>
          <t>SALVOS STORES KEW KEW</t>
        </is>
      </c>
      <c r="C74" s="9" t="n">
        <v>164.8</v>
      </c>
      <c r="D74" s="15" t="inlineStr">
        <is>
          <t>Y</t>
        </is>
      </c>
      <c r="E74" s="8" t="inlineStr">
        <is>
          <t>VICKI ZERTOPOULOS</t>
        </is>
      </c>
      <c r="F74" s="8" t="inlineStr">
        <is>
          <t>2022-04-22</t>
        </is>
      </c>
      <c r="G74" s="8" t="inlineStr"/>
    </row>
    <row r="75">
      <c r="A75" s="7" t="n">
        <v>44727</v>
      </c>
      <c r="B75" s="8" t="inlineStr">
        <is>
          <t>SALVOS STORES KEW KEW</t>
        </is>
      </c>
      <c r="C75" s="9" t="n">
        <v>6</v>
      </c>
      <c r="D75" s="15" t="inlineStr">
        <is>
          <t>Y</t>
        </is>
      </c>
      <c r="E75" s="8" t="inlineStr">
        <is>
          <t>VICKI ZERTOPOULOS</t>
        </is>
      </c>
      <c r="F75" s="8" t="inlineStr">
        <is>
          <t>2022-06-22</t>
        </is>
      </c>
      <c r="G75" s="8" t="inlineStr"/>
    </row>
    <row r="76">
      <c r="A76" s="7" t="n">
        <v>44727</v>
      </c>
      <c r="B76" s="8" t="inlineStr">
        <is>
          <t>SALVOS STORES KEW KEW</t>
        </is>
      </c>
      <c r="C76" s="9" t="n">
        <v>180</v>
      </c>
      <c r="D76" s="15" t="inlineStr">
        <is>
          <t>Y</t>
        </is>
      </c>
      <c r="E76" s="8" t="inlineStr">
        <is>
          <t>VICKI ZERTOPOULOS</t>
        </is>
      </c>
      <c r="F76" s="8" t="inlineStr">
        <is>
          <t>2022-06-22</t>
        </is>
      </c>
      <c r="G76" s="8" t="inlineStr"/>
    </row>
    <row r="77">
      <c r="A77" s="7" t="n">
        <v>44727</v>
      </c>
      <c r="B77" s="8" t="inlineStr">
        <is>
          <t>SALVOS STORES KEW KEW</t>
        </is>
      </c>
      <c r="C77" s="9" t="n">
        <v>160</v>
      </c>
      <c r="D77" s="15" t="inlineStr">
        <is>
          <t>Y</t>
        </is>
      </c>
      <c r="E77" s="8" t="inlineStr">
        <is>
          <t>VICKI ZERTOPOULOS</t>
        </is>
      </c>
      <c r="F77" s="8" t="inlineStr">
        <is>
          <t>2022-06-22</t>
        </is>
      </c>
      <c r="G77" s="8" t="inlineStr"/>
    </row>
    <row r="78">
      <c r="A78" s="7" t="n">
        <v>44711</v>
      </c>
      <c r="B78" s="8" t="inlineStr">
        <is>
          <t>SHE MENTORS MELBOURNE</t>
        </is>
      </c>
      <c r="C78" s="9" t="n">
        <v>24.99</v>
      </c>
      <c r="D78" s="15" t="inlineStr">
        <is>
          <t>Y</t>
        </is>
      </c>
      <c r="E78" s="8" t="inlineStr">
        <is>
          <t>VICKI ZERTOPOULOS</t>
        </is>
      </c>
      <c r="F78" s="8" t="inlineStr">
        <is>
          <t>2022-06-22</t>
        </is>
      </c>
      <c r="G78" s="8" t="inlineStr"/>
    </row>
    <row r="79">
      <c r="A79" s="7" t="n">
        <v>44742</v>
      </c>
      <c r="B79" s="8" t="inlineStr">
        <is>
          <t>SHE MENTORS MELBOURNE</t>
        </is>
      </c>
      <c r="C79" s="9" t="n">
        <v>24.99</v>
      </c>
      <c r="D79" s="15" t="inlineStr">
        <is>
          <t>Y</t>
        </is>
      </c>
      <c r="E79" s="8" t="inlineStr">
        <is>
          <t>VICKI ZERTOPOULOS</t>
        </is>
      </c>
      <c r="F79" s="8" t="inlineStr">
        <is>
          <t>2022-07-22</t>
        </is>
      </c>
      <c r="G79" s="8" t="inlineStr"/>
    </row>
    <row r="80">
      <c r="A80" s="7" t="n">
        <v>44465</v>
      </c>
      <c r="B80" s="8" t="inlineStr">
        <is>
          <t>SQUARESPACE INC. NEW YORK</t>
        </is>
      </c>
      <c r="C80" s="9" t="n">
        <v>22</v>
      </c>
      <c r="D80" s="15" t="inlineStr">
        <is>
          <t>Y</t>
        </is>
      </c>
      <c r="E80" s="8" t="inlineStr">
        <is>
          <t>VICKI ZERTOPOULOS</t>
        </is>
      </c>
      <c r="F80" s="8" t="inlineStr">
        <is>
          <t>2021-10-22</t>
        </is>
      </c>
      <c r="G80" s="8" t="inlineStr"/>
    </row>
    <row r="81">
      <c r="A81" s="7" t="n">
        <v>44496</v>
      </c>
      <c r="B81" s="8" t="inlineStr">
        <is>
          <t>SQUARESPACE INC. NEW YORK</t>
        </is>
      </c>
      <c r="C81" s="9" t="n">
        <v>22</v>
      </c>
      <c r="D81" s="15" t="inlineStr">
        <is>
          <t>Y</t>
        </is>
      </c>
      <c r="E81" s="8" t="inlineStr">
        <is>
          <t>VICKI ZERTOPOULOS</t>
        </is>
      </c>
      <c r="F81" s="8" t="inlineStr">
        <is>
          <t>2021-11-22</t>
        </is>
      </c>
      <c r="G81" s="8" t="inlineStr"/>
    </row>
    <row r="82">
      <c r="A82" s="7" t="n">
        <v>44527</v>
      </c>
      <c r="B82" s="8" t="inlineStr">
        <is>
          <t>SQUARESPACE INC. NEW YORK</t>
        </is>
      </c>
      <c r="C82" s="9" t="n">
        <v>22</v>
      </c>
      <c r="D82" s="15" t="inlineStr">
        <is>
          <t>Y</t>
        </is>
      </c>
      <c r="E82" s="8" t="inlineStr">
        <is>
          <t>VICKI ZERTOPOULOS</t>
        </is>
      </c>
      <c r="F82" s="8" t="inlineStr">
        <is>
          <t>2021-12-22</t>
        </is>
      </c>
      <c r="G82" s="8" t="inlineStr"/>
    </row>
    <row r="83">
      <c r="A83" s="7" t="n">
        <v>44557</v>
      </c>
      <c r="B83" s="8" t="inlineStr">
        <is>
          <t>SQUARESPACE INC. NEW YORK</t>
        </is>
      </c>
      <c r="C83" s="9" t="n">
        <v>22</v>
      </c>
      <c r="D83" s="15" t="inlineStr">
        <is>
          <t>Y</t>
        </is>
      </c>
      <c r="E83" s="8" t="inlineStr">
        <is>
          <t>VICKI ZERTOPOULOS</t>
        </is>
      </c>
      <c r="F83" s="8" t="inlineStr">
        <is>
          <t>2022-01-22</t>
        </is>
      </c>
      <c r="G83" s="8" t="inlineStr"/>
    </row>
    <row r="84">
      <c r="A84" s="7" t="n">
        <v>44588</v>
      </c>
      <c r="B84" s="8" t="inlineStr">
        <is>
          <t>SQUARESPACE INC. NEW YORK</t>
        </is>
      </c>
      <c r="C84" s="9" t="n">
        <v>22</v>
      </c>
      <c r="D84" s="15" t="inlineStr">
        <is>
          <t>Y</t>
        </is>
      </c>
      <c r="E84" s="8" t="inlineStr">
        <is>
          <t>VICKI ZERTOPOULOS</t>
        </is>
      </c>
      <c r="F84" s="8" t="inlineStr">
        <is>
          <t>2022-02-22</t>
        </is>
      </c>
      <c r="G84" s="8" t="inlineStr"/>
    </row>
    <row r="85">
      <c r="A85" s="7" t="n">
        <v>44619</v>
      </c>
      <c r="B85" s="8" t="inlineStr">
        <is>
          <t>SQUARESPACE INC. NEW YORK</t>
        </is>
      </c>
      <c r="C85" s="9" t="n">
        <v>22</v>
      </c>
      <c r="D85" s="15" t="inlineStr">
        <is>
          <t>Y</t>
        </is>
      </c>
      <c r="E85" s="8" t="inlineStr">
        <is>
          <t>VICKI ZERTOPOULOS</t>
        </is>
      </c>
      <c r="F85" s="8" t="inlineStr">
        <is>
          <t>2022-03-22</t>
        </is>
      </c>
      <c r="G85" s="8" t="inlineStr"/>
    </row>
    <row r="86">
      <c r="A86" s="7" t="n">
        <v>44647</v>
      </c>
      <c r="B86" s="8" t="inlineStr">
        <is>
          <t>SQUARESPACE INC. NEW YORK</t>
        </is>
      </c>
      <c r="C86" s="9" t="n">
        <v>22</v>
      </c>
      <c r="D86" s="15" t="inlineStr">
        <is>
          <t>Y</t>
        </is>
      </c>
      <c r="E86" s="8" t="inlineStr">
        <is>
          <t>VICKI ZERTOPOULOS</t>
        </is>
      </c>
      <c r="F86" s="8" t="inlineStr">
        <is>
          <t>2022-04-22</t>
        </is>
      </c>
      <c r="G86" s="8" t="inlineStr"/>
    </row>
    <row r="87">
      <c r="A87" s="7" t="n">
        <v>44678</v>
      </c>
      <c r="B87" s="8" t="inlineStr">
        <is>
          <t>SQUARESPACE INC. NEW YORK</t>
        </is>
      </c>
      <c r="C87" s="9" t="n">
        <v>22</v>
      </c>
      <c r="D87" s="15" t="inlineStr">
        <is>
          <t>Y</t>
        </is>
      </c>
      <c r="E87" s="8" t="inlineStr">
        <is>
          <t>VICKI ZERTOPOULOS</t>
        </is>
      </c>
      <c r="F87" s="8" t="inlineStr">
        <is>
          <t>2022-05-22</t>
        </is>
      </c>
      <c r="G87" s="8" t="inlineStr"/>
    </row>
    <row r="88">
      <c r="A88" s="7" t="n">
        <v>44739</v>
      </c>
      <c r="B88" s="8" t="inlineStr">
        <is>
          <t>SQUARESPACE INC. NEW YORK</t>
        </is>
      </c>
      <c r="C88" s="9" t="n">
        <v>22</v>
      </c>
      <c r="D88" s="15" t="inlineStr">
        <is>
          <t>Y</t>
        </is>
      </c>
      <c r="E88" s="8" t="inlineStr">
        <is>
          <t>VICKI ZERTOPOULOS</t>
        </is>
      </c>
      <c r="F88" s="8" t="inlineStr">
        <is>
          <t>2022-07-22</t>
        </is>
      </c>
      <c r="G88" s="8" t="inlineStr"/>
    </row>
    <row r="89">
      <c r="A89" s="7" t="n">
        <v>44708</v>
      </c>
      <c r="B89" s="8" t="inlineStr">
        <is>
          <t>WITCHERY CHADSTONE CHADSTONE</t>
        </is>
      </c>
      <c r="C89" s="9" t="n">
        <v>124.98</v>
      </c>
      <c r="D89" s="15" t="inlineStr">
        <is>
          <t>Y</t>
        </is>
      </c>
      <c r="E89" s="8" t="inlineStr">
        <is>
          <t>VICKI ZERTOPOULOS</t>
        </is>
      </c>
      <c r="F89" s="8" t="inlineStr">
        <is>
          <t>2022-06-22</t>
        </is>
      </c>
      <c r="G89" s="8" t="inlineStr"/>
    </row>
    <row r="90">
      <c r="A90" s="7" t="n">
        <v>44581</v>
      </c>
      <c r="B90" s="8" t="inlineStr">
        <is>
          <t>XERO AU INV-20070519 HAWTHORN</t>
        </is>
      </c>
      <c r="C90" s="9" t="n">
        <v>54</v>
      </c>
      <c r="D90" s="15" t="inlineStr">
        <is>
          <t>Y</t>
        </is>
      </c>
      <c r="E90" s="8" t="inlineStr">
        <is>
          <t>VICKI ZERTOPOULOS</t>
        </is>
      </c>
      <c r="F90" s="8" t="inlineStr">
        <is>
          <t>2022-01-22</t>
        </is>
      </c>
      <c r="G90" s="8" t="inlineStr"/>
    </row>
    <row r="91">
      <c r="A91" s="7" t="n">
        <v>44612</v>
      </c>
      <c r="B91" s="8" t="inlineStr">
        <is>
          <t>XERO AU INV-20522660 HAWTHORN</t>
        </is>
      </c>
      <c r="C91" s="9" t="n">
        <v>54</v>
      </c>
      <c r="D91" s="15" t="inlineStr">
        <is>
          <t>Y</t>
        </is>
      </c>
      <c r="E91" s="8" t="inlineStr">
        <is>
          <t>VICKI ZERTOPOULOS</t>
        </is>
      </c>
      <c r="F91" s="8" t="inlineStr">
        <is>
          <t>2022-02-22</t>
        </is>
      </c>
      <c r="G91" s="8" t="inlineStr"/>
    </row>
    <row r="92">
      <c r="A92" s="7" t="n">
        <v>44640</v>
      </c>
      <c r="B92" s="8" t="inlineStr">
        <is>
          <t>XERO AU INV-20985398 HAWTHORN</t>
        </is>
      </c>
      <c r="C92" s="9" t="n">
        <v>54</v>
      </c>
      <c r="D92" s="15" t="inlineStr">
        <is>
          <t>Y</t>
        </is>
      </c>
      <c r="E92" s="8" t="inlineStr">
        <is>
          <t>VICKI ZERTOPOULOS</t>
        </is>
      </c>
      <c r="F92" s="8" t="inlineStr">
        <is>
          <t>2022-03-22</t>
        </is>
      </c>
      <c r="G92" s="8" t="inlineStr"/>
    </row>
    <row r="93">
      <c r="A93" s="7" t="n">
        <v>44671</v>
      </c>
      <c r="B93" s="8" t="inlineStr">
        <is>
          <t>XERO AU INV-21463326 HAWTHORN</t>
        </is>
      </c>
      <c r="C93" s="9" t="n">
        <v>54</v>
      </c>
      <c r="D93" s="15" t="inlineStr">
        <is>
          <t>Y</t>
        </is>
      </c>
      <c r="E93" s="8" t="inlineStr">
        <is>
          <t>VICKI ZERTOPOULOS</t>
        </is>
      </c>
      <c r="F93" s="8" t="inlineStr">
        <is>
          <t>2022-04-22</t>
        </is>
      </c>
      <c r="G93" s="8" t="inlineStr"/>
    </row>
    <row r="94">
      <c r="A94" s="7" t="n">
        <v>44701</v>
      </c>
      <c r="B94" s="8" t="inlineStr">
        <is>
          <t>XERO AU INV-21939098 HAWTHORN</t>
        </is>
      </c>
      <c r="C94" s="9" t="n">
        <v>54</v>
      </c>
      <c r="D94" s="15" t="inlineStr">
        <is>
          <t>Y</t>
        </is>
      </c>
      <c r="E94" s="8" t="inlineStr">
        <is>
          <t>VICKI ZERTOPOULOS</t>
        </is>
      </c>
      <c r="F94" s="8" t="inlineStr">
        <is>
          <t>2022-05-22</t>
        </is>
      </c>
      <c r="G94" s="8" t="inlineStr"/>
    </row>
    <row r="95">
      <c r="A95" s="7" t="n">
        <v>44732</v>
      </c>
      <c r="B95" s="8" t="inlineStr">
        <is>
          <t>XERO AU INV-22422218 HAWTHORN</t>
        </is>
      </c>
      <c r="C95" s="9" t="n">
        <v>54</v>
      </c>
      <c r="D95" s="15" t="inlineStr">
        <is>
          <t>Y</t>
        </is>
      </c>
      <c r="E95" s="8" t="inlineStr">
        <is>
          <t>VICKI ZERTOPOULOS</t>
        </is>
      </c>
      <c r="F95" s="8" t="inlineStr">
        <is>
          <t>2022-06-22</t>
        </is>
      </c>
      <c r="G95" s="8" t="inlineStr"/>
    </row>
    <row r="96">
      <c r="B96" s="11" t="inlineStr">
        <is>
          <t>TOTAL (all rows above)</t>
        </is>
      </c>
      <c r="C96" s="12">
        <f>SUM(C5:C95)</f>
        <v/>
      </c>
      <c r="D96" s="13">
        <f>SUMIF(D5:D95,"Y",C5:C95)</f>
        <v/>
      </c>
    </row>
    <row r="97">
      <c r="B97" s="14" t="inlineStr">
        <is>
          <t>↑ col C = total of listed items; col D = total you've marked 'Y' (business)</t>
        </is>
      </c>
    </row>
  </sheetData>
  <autoFilter ref="A4:G95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2026-08-23T11:58:05Z</dcterms:created>
  <dcterms:modified xsi:type="dcterms:W3CDTF">2026-08-23T11:58:05Z</dcterms:modified>
</cp:coreProperties>
</file>