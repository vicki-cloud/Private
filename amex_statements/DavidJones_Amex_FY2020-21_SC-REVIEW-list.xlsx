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REVIEW - your call" sheetId="2" state="visible" r:id="rId2"/>
    <sheet name="Auto-SC - confirm" sheetId="3" state="visible" r:id="rId3"/>
  </sheets>
  <definedNames>
    <definedName name="_xlnm._FilterDatabase" localSheetId="1" hidden="1">'REVIEW - your call'!$A$4:$G$268</definedName>
    <definedName name="_xlnm._FilterDatabase" localSheetId="2" hidden="1">'Auto-SC - confirm'!$A$4:$G$27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10"/>
    </font>
    <font>
      <b val="1"/>
      <color rgb="00FFFFFF"/>
    </font>
    <font>
      <b val="1"/>
    </font>
    <font>
      <b val="1"/>
      <color rgb="00375623"/>
    </font>
    <font>
      <i val="1"/>
      <color rgb="00595959"/>
      <sz val="9"/>
    </font>
    <font>
      <b val="1"/>
      <color rgb="001F3864"/>
      <sz val="14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4" fontId="4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Financial Year 2020-21 (1 Jul 2020 – 30 Jun 2021) Stylecolab Expense Review</t>
        </is>
      </c>
    </row>
    <row r="2">
      <c r="A2" s="2" t="inlineStr"/>
      <c r="B2" t="inlineStr"/>
    </row>
    <row r="3">
      <c r="A3" s="3" t="inlineStr">
        <is>
          <t>Two tabs to work through:</t>
        </is>
      </c>
      <c r="B3" t="inlineStr"/>
    </row>
    <row r="4">
      <c r="A4" s="2" t="inlineStr">
        <is>
          <t xml:space="preserve">  1) REVIEW - your call</t>
        </is>
      </c>
      <c r="B4" t="inlineStr">
        <is>
          <t>264 mixed-merchant items. Blank 'Business?' — put Y or N.</t>
        </is>
      </c>
    </row>
    <row r="5">
      <c r="A5" s="2" t="inlineStr">
        <is>
          <t xml:space="preserve">  2) Auto-SC - confirm</t>
        </is>
      </c>
      <c r="B5" t="inlineStr">
        <is>
          <t>23 items I auto-flagged as business. Pre-filled 'Y' — change any to N.</t>
        </is>
      </c>
    </row>
    <row r="6">
      <c r="A6" s="2" t="inlineStr"/>
      <c r="B6" t="inlineStr"/>
    </row>
    <row r="7">
      <c r="A7" s="3" t="inlineStr">
        <is>
          <t>How it works:</t>
        </is>
      </c>
      <c r="B7" t="inlineStr"/>
    </row>
    <row r="8">
      <c r="A8" s="2" t="inlineStr">
        <is>
          <t xml:space="preserve">  • Items are grouped by merchant</t>
        </is>
      </c>
      <c r="B8" t="inlineStr">
        <is>
          <t>so you can decide similar rows quickly (e.g. all DAVID JONES together).</t>
        </is>
      </c>
    </row>
    <row r="9">
      <c r="A9" s="2" t="inlineStr">
        <is>
          <t xml:space="preserve">  • The green total (col D)</t>
        </is>
      </c>
      <c r="B9" t="inlineStr">
        <is>
          <t>adds up everything you mark 'Y' = your business claim for this year.</t>
        </is>
      </c>
    </row>
    <row r="10">
      <c r="A10" s="2" t="inlineStr">
        <is>
          <t xml:space="preserve">  • Send the file back</t>
        </is>
      </c>
      <c r="B10" t="inlineStr">
        <is>
          <t>and I'll lock in your answers and update the classification rules.</t>
        </is>
      </c>
    </row>
    <row r="11">
      <c r="A11" s="2" t="inlineStr"/>
      <c r="B11" t="inlineStr"/>
    </row>
    <row r="12">
      <c r="A12" s="3" t="inlineStr">
        <is>
          <t>Note:</t>
        </is>
      </c>
      <c r="B12" t="inlineStr">
        <is>
          <t>This year has NOT been reviewed by you before — all flags are auto-generated from your Stylecolab rules and need your confirmation.</t>
        </is>
      </c>
    </row>
    <row r="13">
      <c r="A13" s="2" t="inlineStr"/>
      <c r="B13" t="inlineStr"/>
    </row>
    <row r="14">
      <c r="A14" s="3" t="inlineStr">
        <is>
          <t>Totals to date:</t>
        </is>
      </c>
      <c r="B14" t="inlineStr"/>
    </row>
    <row r="15">
      <c r="A15" s="2" t="inlineStr">
        <is>
          <t xml:space="preserve">  REVIEW items</t>
        </is>
      </c>
      <c r="B15" t="inlineStr">
        <is>
          <t>33,587.26 AUD across 264 transactions</t>
        </is>
      </c>
    </row>
    <row r="16">
      <c r="A16" s="2" t="inlineStr">
        <is>
          <t xml:space="preserve">  Auto-SC (pre-flagged)</t>
        </is>
      </c>
      <c r="B16" t="inlineStr">
        <is>
          <t>394.45 AUD across 23 transactions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4" customWidth="1" min="4" max="4"/>
    <col width="20" customWidth="1" min="5" max="5"/>
    <col width="13" customWidth="1" min="6" max="6"/>
    <col width="50" customWidth="1" min="7" max="7"/>
  </cols>
  <sheetData>
    <row r="1">
      <c r="A1" s="4" t="inlineStr">
        <is>
          <t>Financial Year 2020-21 (1 Jul 2020 – 30 Jun 2021) — REVIEW items (mixed merchants: business or personal?)</t>
        </is>
      </c>
    </row>
    <row r="2">
      <c r="A2" s="5" t="inlineStr">
        <is>
          <t>Put Y (business) or N (personal) in the 'Business?' column. Items are grouped by merchant so you can decide similar ones together.</t>
        </is>
      </c>
    </row>
    <row r="4">
      <c r="A4" s="6" t="inlineStr">
        <is>
          <t>Date</t>
        </is>
      </c>
      <c r="B4" s="6" t="inlineStr">
        <is>
          <t>Merchant &amp; Location</t>
        </is>
      </c>
      <c r="C4" s="6" t="inlineStr">
        <is>
          <t>Amount (AUD)</t>
        </is>
      </c>
      <c r="D4" s="6" t="inlineStr">
        <is>
          <t>Business? (Y/N)</t>
        </is>
      </c>
      <c r="E4" s="6" t="inlineStr">
        <is>
          <t>Cardholder</t>
        </is>
      </c>
      <c r="F4" s="6" t="inlineStr">
        <is>
          <t>Source Stmt</t>
        </is>
      </c>
      <c r="G4" s="6" t="inlineStr">
        <is>
          <t>Notes</t>
        </is>
      </c>
    </row>
    <row r="5">
      <c r="A5" s="7" t="n">
        <v>44290</v>
      </c>
      <c r="B5" s="8" t="inlineStr">
        <is>
          <t>AIRPORT DOMESTIC PIER B MASCOT</t>
        </is>
      </c>
      <c r="C5" s="9" t="n">
        <v>5</v>
      </c>
      <c r="D5" s="10" t="inlineStr"/>
      <c r="E5" s="8" t="inlineStr">
        <is>
          <t>VICKI ZERTOPOULOS</t>
        </is>
      </c>
      <c r="F5" s="8" t="inlineStr">
        <is>
          <t>2021-04-22</t>
        </is>
      </c>
      <c r="G5" s="8" t="n"/>
    </row>
    <row r="6">
      <c r="A6" s="7" t="n">
        <v>44124</v>
      </c>
      <c r="B6" s="8" t="inlineStr">
        <is>
          <t>AMZN DIGITAL 503-7150002</t>
        </is>
      </c>
      <c r="C6" s="9" t="n">
        <v>12.09</v>
      </c>
      <c r="D6" s="10" t="inlineStr"/>
      <c r="E6" s="8" t="inlineStr">
        <is>
          <t>VICKI ZERTOPOULOS</t>
        </is>
      </c>
      <c r="F6" s="8" t="inlineStr">
        <is>
          <t>2020-10-22</t>
        </is>
      </c>
      <c r="G6" s="8" t="n"/>
    </row>
    <row r="7">
      <c r="A7" s="7" t="n">
        <v>44280</v>
      </c>
      <c r="B7" s="8" t="inlineStr">
        <is>
          <t>AMZN DIGITAL 503-7150002</t>
        </is>
      </c>
      <c r="C7" s="9" t="n">
        <v>4.45</v>
      </c>
      <c r="D7" s="10" t="inlineStr"/>
      <c r="E7" s="8" t="inlineStr">
        <is>
          <t>VICKI ZERTOPOULOS</t>
        </is>
      </c>
      <c r="F7" s="8" t="inlineStr">
        <is>
          <t>2021-04-22</t>
        </is>
      </c>
      <c r="G7" s="8" t="n"/>
    </row>
    <row r="8">
      <c r="A8" s="7" t="n">
        <v>44280</v>
      </c>
      <c r="B8" s="8" t="inlineStr">
        <is>
          <t>AMZN DIGITAL 503-7150002</t>
        </is>
      </c>
      <c r="C8" s="9" t="n">
        <v>16.99</v>
      </c>
      <c r="D8" s="10" t="inlineStr"/>
      <c r="E8" s="8" t="inlineStr">
        <is>
          <t>VICKI ZERTOPOULOS</t>
        </is>
      </c>
      <c r="F8" s="8" t="inlineStr">
        <is>
          <t>2021-04-22</t>
        </is>
      </c>
      <c r="G8" s="8" t="n"/>
    </row>
    <row r="9">
      <c r="A9" s="7" t="n">
        <v>44298</v>
      </c>
      <c r="B9" s="8" t="inlineStr">
        <is>
          <t>AMZN DIGITAL 503-7150002</t>
        </is>
      </c>
      <c r="C9" s="9" t="n">
        <v>9.99</v>
      </c>
      <c r="D9" s="10" t="inlineStr"/>
      <c r="E9" s="8" t="inlineStr">
        <is>
          <t>VICKI ZERTOPOULOS</t>
        </is>
      </c>
      <c r="F9" s="8" t="inlineStr">
        <is>
          <t>2021-04-22</t>
        </is>
      </c>
      <c r="G9" s="8" t="n"/>
    </row>
    <row r="10">
      <c r="A10" s="7" t="n">
        <v>44315</v>
      </c>
      <c r="B10" s="8" t="inlineStr">
        <is>
          <t>AMZN DIGITAL 503-7150002</t>
        </is>
      </c>
      <c r="C10" s="9" t="n">
        <v>14.17</v>
      </c>
      <c r="D10" s="10" t="inlineStr"/>
      <c r="E10" s="8" t="inlineStr">
        <is>
          <t>VICKI ZERTOPOULOS</t>
        </is>
      </c>
      <c r="F10" s="8" t="inlineStr">
        <is>
          <t>2021-05-22</t>
        </is>
      </c>
      <c r="G10" s="8" t="n"/>
    </row>
    <row r="11">
      <c r="A11" s="7" t="n">
        <v>44339</v>
      </c>
      <c r="B11" s="8" t="inlineStr">
        <is>
          <t>AMZN DIGITAL 503-7150002</t>
        </is>
      </c>
      <c r="C11" s="9" t="n">
        <v>11.99</v>
      </c>
      <c r="D11" s="10" t="inlineStr"/>
      <c r="E11" s="8" t="inlineStr">
        <is>
          <t>VICKI ZERTOPOULOS</t>
        </is>
      </c>
      <c r="F11" s="8" t="inlineStr">
        <is>
          <t>2021-06-22</t>
        </is>
      </c>
      <c r="G11" s="8" t="n"/>
    </row>
    <row r="12">
      <c r="A12" s="7" t="n">
        <v>44349</v>
      </c>
      <c r="B12" s="8" t="inlineStr">
        <is>
          <t>AMZN DIGITAL 503-7150002</t>
        </is>
      </c>
      <c r="C12" s="9" t="n">
        <v>9.58</v>
      </c>
      <c r="D12" s="10" t="inlineStr"/>
      <c r="E12" s="8" t="inlineStr">
        <is>
          <t>VICKI ZERTOPOULOS</t>
        </is>
      </c>
      <c r="F12" s="8" t="inlineStr">
        <is>
          <t>2021-06-22</t>
        </is>
      </c>
      <c r="G12" s="8" t="n"/>
    </row>
    <row r="13">
      <c r="A13" s="7" t="n">
        <v>44350</v>
      </c>
      <c r="B13" s="8" t="inlineStr">
        <is>
          <t>AMZN DIGITAL 503-7150002</t>
        </is>
      </c>
      <c r="C13" s="9" t="n">
        <v>6.72</v>
      </c>
      <c r="D13" s="10" t="inlineStr"/>
      <c r="E13" s="8" t="inlineStr">
        <is>
          <t>VICKI ZERTOPOULOS</t>
        </is>
      </c>
      <c r="F13" s="8" t="inlineStr">
        <is>
          <t>2021-06-22</t>
        </is>
      </c>
      <c r="G13" s="8" t="n"/>
    </row>
    <row r="14">
      <c r="A14" s="7" t="n">
        <v>44350</v>
      </c>
      <c r="B14" s="8" t="inlineStr">
        <is>
          <t>AMZN DIGITAL 503-7150002</t>
        </is>
      </c>
      <c r="C14" s="9" t="n">
        <v>11.99</v>
      </c>
      <c r="D14" s="10" t="inlineStr"/>
      <c r="E14" s="8" t="inlineStr">
        <is>
          <t>VICKI ZERTOPOULOS</t>
        </is>
      </c>
      <c r="F14" s="8" t="inlineStr">
        <is>
          <t>2021-06-22</t>
        </is>
      </c>
      <c r="G14" s="8" t="n"/>
    </row>
    <row r="15">
      <c r="A15" s="7" t="n">
        <v>44353</v>
      </c>
      <c r="B15" s="8" t="inlineStr">
        <is>
          <t>AMZN DIGITAL 503-7150002</t>
        </is>
      </c>
      <c r="C15" s="9" t="n">
        <v>4.43</v>
      </c>
      <c r="D15" s="10" t="inlineStr"/>
      <c r="E15" s="8" t="inlineStr">
        <is>
          <t>VICKI ZERTOPOULOS</t>
        </is>
      </c>
      <c r="F15" s="8" t="inlineStr">
        <is>
          <t>2021-06-22</t>
        </is>
      </c>
      <c r="G15" s="8" t="n"/>
    </row>
    <row r="16">
      <c r="A16" s="7" t="n">
        <v>44353</v>
      </c>
      <c r="B16" s="8" t="inlineStr">
        <is>
          <t>AMZN DIGITAL 503-7150002</t>
        </is>
      </c>
      <c r="C16" s="9" t="n">
        <v>9.99</v>
      </c>
      <c r="D16" s="10" t="inlineStr"/>
      <c r="E16" s="8" t="inlineStr">
        <is>
          <t>VICKI ZERTOPOULOS</t>
        </is>
      </c>
      <c r="F16" s="8" t="inlineStr">
        <is>
          <t>2021-06-22</t>
        </is>
      </c>
      <c r="G16" s="8" t="n"/>
    </row>
    <row r="17">
      <c r="A17" s="7" t="n">
        <v>44375</v>
      </c>
      <c r="B17" s="8" t="inlineStr">
        <is>
          <t>AMZN DIGITAL 503-7150002</t>
        </is>
      </c>
      <c r="C17" s="9" t="n">
        <v>12.99</v>
      </c>
      <c r="D17" s="10" t="inlineStr"/>
      <c r="E17" s="8" t="inlineStr">
        <is>
          <t>VICKI ZERTOPOULOS</t>
        </is>
      </c>
      <c r="F17" s="8" t="inlineStr">
        <is>
          <t>2021-07-22</t>
        </is>
      </c>
      <c r="G17" s="8" t="n"/>
    </row>
    <row r="18">
      <c r="A18" s="7" t="n">
        <v>44375</v>
      </c>
      <c r="B18" s="8" t="inlineStr">
        <is>
          <t>AMZN DIGITAL 503-7150002</t>
        </is>
      </c>
      <c r="C18" s="9" t="n">
        <v>14.99</v>
      </c>
      <c r="D18" s="10" t="inlineStr"/>
      <c r="E18" s="8" t="inlineStr">
        <is>
          <t>VICKI ZERTOPOULOS</t>
        </is>
      </c>
      <c r="F18" s="8" t="inlineStr">
        <is>
          <t>2021-07-22</t>
        </is>
      </c>
      <c r="G18" s="8" t="n"/>
    </row>
    <row r="19">
      <c r="A19" s="7" t="n">
        <v>44375</v>
      </c>
      <c r="B19" s="8" t="inlineStr">
        <is>
          <t>AMZN DIGITAL 503-7150002</t>
        </is>
      </c>
      <c r="C19" s="9" t="n">
        <v>3.99</v>
      </c>
      <c r="D19" s="10" t="inlineStr"/>
      <c r="E19" s="8" t="inlineStr">
        <is>
          <t>VICKI ZERTOPOULOS</t>
        </is>
      </c>
      <c r="F19" s="8" t="inlineStr">
        <is>
          <t>2021-07-22</t>
        </is>
      </c>
      <c r="G19" s="8" t="n"/>
    </row>
    <row r="20">
      <c r="A20" s="7" t="n">
        <v>44338</v>
      </c>
      <c r="B20" s="8" t="inlineStr">
        <is>
          <t>B LUCKY MELBOURNE CENTR MELBOURNE</t>
        </is>
      </c>
      <c r="C20" s="9" t="n">
        <v>100</v>
      </c>
      <c r="D20" s="10" t="inlineStr"/>
      <c r="E20" s="8" t="inlineStr">
        <is>
          <t>VICKI ZERTOPOULOS</t>
        </is>
      </c>
      <c r="F20" s="8" t="inlineStr">
        <is>
          <t>2021-06-22</t>
        </is>
      </c>
      <c r="G20" s="8" t="n"/>
    </row>
    <row r="21">
      <c r="A21" s="7" t="n">
        <v>44189</v>
      </c>
      <c r="B21" s="8" t="inlineStr">
        <is>
          <t>BED BATH N TABLE CAMBER CAMBERWELL</t>
        </is>
      </c>
      <c r="C21" s="9" t="n">
        <v>144.25</v>
      </c>
      <c r="D21" s="10" t="inlineStr"/>
      <c r="E21" s="8" t="inlineStr">
        <is>
          <t>VICKI ZERTOPOULOS</t>
        </is>
      </c>
      <c r="F21" s="8" t="inlineStr">
        <is>
          <t>2021-01-22</t>
        </is>
      </c>
      <c r="G21" s="8" t="n"/>
    </row>
    <row r="22">
      <c r="A22" s="7" t="n">
        <v>44179</v>
      </c>
      <c r="B22" s="8" t="inlineStr">
        <is>
          <t>BED BATH N TABLE HAWTHO HAWTHORN</t>
        </is>
      </c>
      <c r="C22" s="9" t="n">
        <v>8.5</v>
      </c>
      <c r="D22" s="10" t="inlineStr"/>
      <c r="E22" s="8" t="inlineStr">
        <is>
          <t>VICKI ZERTOPOULOS</t>
        </is>
      </c>
      <c r="F22" s="8" t="inlineStr">
        <is>
          <t>2020-12-22</t>
        </is>
      </c>
      <c r="G22" s="8" t="n"/>
    </row>
    <row r="23">
      <c r="A23" s="7" t="n">
        <v>44188</v>
      </c>
      <c r="B23" s="8" t="inlineStr">
        <is>
          <t>BED BATH N TABLE HAWTHO HAWTHORN</t>
        </is>
      </c>
      <c r="C23" s="9" t="n">
        <v>223.81</v>
      </c>
      <c r="D23" s="10" t="inlineStr"/>
      <c r="E23" s="8" t="inlineStr">
        <is>
          <t>VICKI ZERTOPOULOS</t>
        </is>
      </c>
      <c r="F23" s="8" t="inlineStr">
        <is>
          <t>2021-01-22</t>
        </is>
      </c>
      <c r="G23" s="8" t="n"/>
    </row>
    <row r="24">
      <c r="A24" s="7" t="n">
        <v>44183</v>
      </c>
      <c r="B24" s="8" t="inlineStr">
        <is>
          <t>BED BATH N TABLE VICTOR RICHMOND</t>
        </is>
      </c>
      <c r="C24" s="9" t="n">
        <v>225.2</v>
      </c>
      <c r="D24" s="10" t="inlineStr"/>
      <c r="E24" s="8" t="inlineStr">
        <is>
          <t>VICKI ZERTOPOULOS</t>
        </is>
      </c>
      <c r="F24" s="8" t="inlineStr">
        <is>
          <t>2020-12-22</t>
        </is>
      </c>
      <c r="G24" s="8" t="n"/>
    </row>
    <row r="25">
      <c r="A25" s="7" t="n">
        <v>44183</v>
      </c>
      <c r="B25" s="8" t="inlineStr">
        <is>
          <t>BED BATH N TABLE VICTOR RICHMOND</t>
        </is>
      </c>
      <c r="C25" s="9" t="n">
        <v>55.65</v>
      </c>
      <c r="D25" s="10" t="inlineStr"/>
      <c r="E25" s="8" t="inlineStr">
        <is>
          <t>VICKI ZERTOPOULOS</t>
        </is>
      </c>
      <c r="F25" s="8" t="inlineStr">
        <is>
          <t>2020-12-22</t>
        </is>
      </c>
      <c r="G25" s="8" t="n"/>
    </row>
    <row r="26">
      <c r="A26" s="7" t="n">
        <v>44189</v>
      </c>
      <c r="B26" s="8" t="inlineStr">
        <is>
          <t>BED BATH N TABLE VICTOR RICHMOND</t>
        </is>
      </c>
      <c r="C26" s="9" t="n">
        <v>48.67</v>
      </c>
      <c r="D26" s="10" t="inlineStr"/>
      <c r="E26" s="8" t="inlineStr">
        <is>
          <t>VICKI ZERTOPOULOS</t>
        </is>
      </c>
      <c r="F26" s="8" t="inlineStr">
        <is>
          <t>2021-01-22</t>
        </is>
      </c>
      <c r="G26" s="8" t="n"/>
    </row>
    <row r="27">
      <c r="A27" s="7" t="n">
        <v>44032</v>
      </c>
      <c r="B27" s="8" t="inlineStr">
        <is>
          <t>BIG W 0368 DONCASTER DONCASTER</t>
        </is>
      </c>
      <c r="C27" s="9" t="n">
        <v>21</v>
      </c>
      <c r="D27" s="10" t="inlineStr"/>
      <c r="E27" s="8" t="inlineStr">
        <is>
          <t>VICKI ZERTOPOULOS</t>
        </is>
      </c>
      <c r="F27" s="8" t="inlineStr">
        <is>
          <t>2020-07-22</t>
        </is>
      </c>
      <c r="G27" s="8" t="n"/>
    </row>
    <row r="28">
      <c r="A28" s="7" t="n">
        <v>44212</v>
      </c>
      <c r="B28" s="8" t="inlineStr">
        <is>
          <t>BIG W 0368 DONCASTER DONCASTER</t>
        </is>
      </c>
      <c r="C28" s="9" t="n">
        <v>5</v>
      </c>
      <c r="D28" s="10" t="inlineStr"/>
      <c r="E28" s="8" t="inlineStr">
        <is>
          <t>VICKI ZERTOPOULOS</t>
        </is>
      </c>
      <c r="F28" s="8" t="inlineStr">
        <is>
          <t>2021-01-22</t>
        </is>
      </c>
      <c r="G28" s="8" t="n"/>
    </row>
    <row r="29">
      <c r="A29" s="7" t="n">
        <v>44032</v>
      </c>
      <c r="B29" s="8" t="inlineStr">
        <is>
          <t>BIG W 0384 EASTLANDS RINGWOOD</t>
        </is>
      </c>
      <c r="C29" s="9" t="n">
        <v>81</v>
      </c>
      <c r="D29" s="10" t="inlineStr"/>
      <c r="E29" s="8" t="inlineStr">
        <is>
          <t>VICKI ZERTOPOULOS</t>
        </is>
      </c>
      <c r="F29" s="8" t="inlineStr">
        <is>
          <t>2020-07-22</t>
        </is>
      </c>
      <c r="G29" s="8" t="n"/>
    </row>
    <row r="30">
      <c r="A30" s="7" t="n">
        <v>44186</v>
      </c>
      <c r="B30" s="8" t="inlineStr">
        <is>
          <t>BIG WIG BEAUTY BUNDALL</t>
        </is>
      </c>
      <c r="C30" s="9" t="n">
        <v>1215.17</v>
      </c>
      <c r="D30" s="10" t="inlineStr"/>
      <c r="E30" s="8" t="inlineStr">
        <is>
          <t>VICKI ZERTOPOULOS</t>
        </is>
      </c>
      <c r="F30" s="8" t="inlineStr">
        <is>
          <t>2020-12-22</t>
        </is>
      </c>
      <c r="G30" s="8" t="n"/>
    </row>
    <row r="31">
      <c r="A31" s="7" t="n">
        <v>44215</v>
      </c>
      <c r="B31" s="8" t="inlineStr">
        <is>
          <t>BIG WIG BEAUTY BUNDALL</t>
        </is>
      </c>
      <c r="C31" s="9" t="n">
        <v>321.18</v>
      </c>
      <c r="D31" s="10" t="inlineStr"/>
      <c r="E31" s="8" t="inlineStr">
        <is>
          <t>VICKI ZERTOPOULOS</t>
        </is>
      </c>
      <c r="F31" s="8" t="inlineStr">
        <is>
          <t>2021-01-22</t>
        </is>
      </c>
      <c r="G31" s="8" t="n"/>
    </row>
    <row r="32">
      <c r="A32" s="7" t="n">
        <v>44218</v>
      </c>
      <c r="B32" s="8" t="inlineStr">
        <is>
          <t>BIG WIG BEAUTY BUNDALL</t>
        </is>
      </c>
      <c r="C32" s="9" t="n">
        <v>76.76000000000001</v>
      </c>
      <c r="D32" s="10" t="inlineStr"/>
      <c r="E32" s="8" t="inlineStr">
        <is>
          <t>VICKI ZERTOPOULOS</t>
        </is>
      </c>
      <c r="F32" s="8" t="inlineStr">
        <is>
          <t>2021-01-22</t>
        </is>
      </c>
      <c r="G32" s="8" t="n"/>
    </row>
    <row r="33">
      <c r="A33" s="7" t="n">
        <v>44256</v>
      </c>
      <c r="B33" s="8" t="inlineStr">
        <is>
          <t>BIG WIG BEAUTY BUNDALL</t>
        </is>
      </c>
      <c r="C33" s="9" t="n">
        <v>181.8</v>
      </c>
      <c r="D33" s="10" t="inlineStr"/>
      <c r="E33" s="8" t="inlineStr">
        <is>
          <t>VICKI ZERTOPOULOS</t>
        </is>
      </c>
      <c r="F33" s="8" t="inlineStr">
        <is>
          <t>2021-03-22</t>
        </is>
      </c>
      <c r="G33" s="8" t="n"/>
    </row>
    <row r="34">
      <c r="A34" s="7" t="n">
        <v>44016</v>
      </c>
      <c r="B34" s="8" t="inlineStr">
        <is>
          <t>COLES BALWYN NORTH 565 BALWYN NORTH</t>
        </is>
      </c>
      <c r="C34" s="9" t="n">
        <v>98.44</v>
      </c>
      <c r="D34" s="10" t="inlineStr"/>
      <c r="E34" s="8" t="inlineStr">
        <is>
          <t>VICKI ZERTOPOULOS</t>
        </is>
      </c>
      <c r="F34" s="8" t="inlineStr">
        <is>
          <t>2020-07-22</t>
        </is>
      </c>
      <c r="G34" s="8" t="n"/>
    </row>
    <row r="35">
      <c r="A35" s="7" t="n">
        <v>44019</v>
      </c>
      <c r="B35" s="8" t="inlineStr">
        <is>
          <t>COLES BALWYN NORTH 565 BALWYN NORTH</t>
        </is>
      </c>
      <c r="C35" s="9" t="n">
        <v>29.05</v>
      </c>
      <c r="D35" s="10" t="inlineStr"/>
      <c r="E35" s="8" t="inlineStr">
        <is>
          <t>VICKI ZERTOPOULOS</t>
        </is>
      </c>
      <c r="F35" s="8" t="inlineStr">
        <is>
          <t>2020-07-22</t>
        </is>
      </c>
      <c r="G35" s="8" t="n"/>
    </row>
    <row r="36">
      <c r="A36" s="7" t="n">
        <v>44041</v>
      </c>
      <c r="B36" s="8" t="inlineStr">
        <is>
          <t>COLES BALWYN NORTH 565 BALWYN NORTH</t>
        </is>
      </c>
      <c r="C36" s="9" t="n">
        <v>83.56999999999999</v>
      </c>
      <c r="D36" s="10" t="inlineStr"/>
      <c r="E36" s="8" t="inlineStr">
        <is>
          <t>VICKI ZERTOPOULOS</t>
        </is>
      </c>
      <c r="F36" s="8" t="inlineStr">
        <is>
          <t>2020-08-22</t>
        </is>
      </c>
      <c r="G36" s="8" t="n"/>
    </row>
    <row r="37">
      <c r="A37" s="7" t="n">
        <v>44059</v>
      </c>
      <c r="B37" s="8" t="inlineStr">
        <is>
          <t>COLES BALWYN NORTH 565 BALWYN NORTH</t>
        </is>
      </c>
      <c r="C37" s="9" t="n">
        <v>24.8</v>
      </c>
      <c r="D37" s="10" t="inlineStr"/>
      <c r="E37" s="8" t="inlineStr">
        <is>
          <t>VICKI ZERTOPOULOS</t>
        </is>
      </c>
      <c r="F37" s="8" t="inlineStr">
        <is>
          <t>2020-08-22</t>
        </is>
      </c>
      <c r="G37" s="8" t="n"/>
    </row>
    <row r="38">
      <c r="A38" s="7" t="n">
        <v>44066</v>
      </c>
      <c r="B38" s="8" t="inlineStr">
        <is>
          <t>COLES BALWYN NORTH 565 BALWYN NORTH</t>
        </is>
      </c>
      <c r="C38" s="9" t="n">
        <v>90.20999999999999</v>
      </c>
      <c r="D38" s="10" t="inlineStr"/>
      <c r="E38" s="8" t="inlineStr">
        <is>
          <t>VICKI ZERTOPOULOS</t>
        </is>
      </c>
      <c r="F38" s="8" t="inlineStr">
        <is>
          <t>2020-09-22</t>
        </is>
      </c>
      <c r="G38" s="8" t="n"/>
    </row>
    <row r="39">
      <c r="A39" s="7" t="n">
        <v>44097</v>
      </c>
      <c r="B39" s="8" t="inlineStr">
        <is>
          <t>COLES BALWYN NORTH 565 BALWYN NORTH</t>
        </is>
      </c>
      <c r="C39" s="9" t="n">
        <v>26</v>
      </c>
      <c r="D39" s="10" t="inlineStr"/>
      <c r="E39" s="8" t="inlineStr">
        <is>
          <t>VICKI ZERTOPOULOS</t>
        </is>
      </c>
      <c r="F39" s="8" t="inlineStr">
        <is>
          <t>2020-10-22</t>
        </is>
      </c>
      <c r="G39" s="8" t="n"/>
    </row>
    <row r="40">
      <c r="A40" s="7" t="n">
        <v>44109</v>
      </c>
      <c r="B40" s="8" t="inlineStr">
        <is>
          <t>COLES BALWYN NORTH 565 BALWYN NORTH</t>
        </is>
      </c>
      <c r="C40" s="9" t="n">
        <v>216.46</v>
      </c>
      <c r="D40" s="10" t="inlineStr"/>
      <c r="E40" s="8" t="inlineStr">
        <is>
          <t>VICKI ZERTOPOULOS</t>
        </is>
      </c>
      <c r="F40" s="8" t="inlineStr">
        <is>
          <t>2020-10-22</t>
        </is>
      </c>
      <c r="G40" s="8" t="n"/>
    </row>
    <row r="41">
      <c r="A41" s="7" t="n">
        <v>44125</v>
      </c>
      <c r="B41" s="8" t="inlineStr">
        <is>
          <t>COLES BALWYN NORTH 565 BALWYN NORTH</t>
        </is>
      </c>
      <c r="C41" s="9" t="n">
        <v>94.89</v>
      </c>
      <c r="D41" s="10" t="inlineStr"/>
      <c r="E41" s="8" t="inlineStr">
        <is>
          <t>VICKI ZERTOPOULOS</t>
        </is>
      </c>
      <c r="F41" s="8" t="inlineStr">
        <is>
          <t>2020-10-22</t>
        </is>
      </c>
      <c r="G41" s="8" t="n"/>
    </row>
    <row r="42">
      <c r="A42" s="7" t="n">
        <v>44128</v>
      </c>
      <c r="B42" s="8" t="inlineStr">
        <is>
          <t>COLES BALWYN NORTH 565 BALWYN NORTH</t>
        </is>
      </c>
      <c r="C42" s="9" t="n">
        <v>128.4</v>
      </c>
      <c r="D42" s="10" t="inlineStr"/>
      <c r="E42" s="8" t="inlineStr">
        <is>
          <t>VICKI ZERTOPOULOS</t>
        </is>
      </c>
      <c r="F42" s="8" t="inlineStr">
        <is>
          <t>2020-11-22</t>
        </is>
      </c>
      <c r="G42" s="8" t="n"/>
    </row>
    <row r="43">
      <c r="A43" s="7" t="n">
        <v>44140</v>
      </c>
      <c r="B43" s="8" t="inlineStr">
        <is>
          <t>COLES BALWYN NORTH 565 BALWYN NORTH</t>
        </is>
      </c>
      <c r="C43" s="9" t="n">
        <v>162.58</v>
      </c>
      <c r="D43" s="10" t="inlineStr"/>
      <c r="E43" s="8" t="inlineStr">
        <is>
          <t>VICKI ZERTOPOULOS</t>
        </is>
      </c>
      <c r="F43" s="8" t="inlineStr">
        <is>
          <t>2020-11-22</t>
        </is>
      </c>
      <c r="G43" s="8" t="n"/>
    </row>
    <row r="44">
      <c r="A44" s="7" t="n">
        <v>44144</v>
      </c>
      <c r="B44" s="8" t="inlineStr">
        <is>
          <t>COLES BALWYN NORTH 565 BALWYN NORTH</t>
        </is>
      </c>
      <c r="C44" s="9" t="n">
        <v>356.28</v>
      </c>
      <c r="D44" s="10" t="inlineStr"/>
      <c r="E44" s="8" t="inlineStr">
        <is>
          <t>VICKI ZERTOPOULOS</t>
        </is>
      </c>
      <c r="F44" s="8" t="inlineStr">
        <is>
          <t>2020-11-22</t>
        </is>
      </c>
      <c r="G44" s="8" t="n"/>
    </row>
    <row r="45">
      <c r="A45" s="7" t="n">
        <v>44147</v>
      </c>
      <c r="B45" s="8" t="inlineStr">
        <is>
          <t>COLES BALWYN NORTH 565 BALWYN NORTH</t>
        </is>
      </c>
      <c r="C45" s="9" t="n">
        <v>60.25</v>
      </c>
      <c r="D45" s="10" t="inlineStr"/>
      <c r="E45" s="8" t="inlineStr">
        <is>
          <t>VICKI ZERTOPOULOS</t>
        </is>
      </c>
      <c r="F45" s="8" t="inlineStr">
        <is>
          <t>2020-11-22</t>
        </is>
      </c>
      <c r="G45" s="8" t="n"/>
    </row>
    <row r="46">
      <c r="A46" s="7" t="n">
        <v>44159</v>
      </c>
      <c r="B46" s="8" t="inlineStr">
        <is>
          <t>COLES BALWYN NORTH 565 BALWYN NORTH</t>
        </is>
      </c>
      <c r="C46" s="9" t="n">
        <v>12.5</v>
      </c>
      <c r="D46" s="10" t="inlineStr"/>
      <c r="E46" s="8" t="inlineStr">
        <is>
          <t>VICKI ZERTOPOULOS</t>
        </is>
      </c>
      <c r="F46" s="8" t="inlineStr">
        <is>
          <t>2020-12-22</t>
        </is>
      </c>
      <c r="G46" s="8" t="inlineStr">
        <is>
          <t>offers, or wish to change the address, name or phone number conversion commission of 3.00%. Any Charges converted by third parties prior to being</t>
        </is>
      </c>
    </row>
    <row r="47">
      <c r="A47" s="7" t="n">
        <v>44161</v>
      </c>
      <c r="B47" s="8" t="inlineStr">
        <is>
          <t>COLES BALWYN NORTH 565 BALWYN NORTH</t>
        </is>
      </c>
      <c r="C47" s="9" t="n">
        <v>10</v>
      </c>
      <c r="D47" s="10" t="inlineStr"/>
      <c r="E47" s="8" t="inlineStr">
        <is>
          <t>VICKI ZERTOPOULOS</t>
        </is>
      </c>
      <c r="F47" s="8" t="inlineStr">
        <is>
          <t>2020-12-22</t>
        </is>
      </c>
      <c r="G47" s="8" t="n"/>
    </row>
    <row r="48">
      <c r="A48" s="7" t="n">
        <v>44161</v>
      </c>
      <c r="B48" s="8" t="inlineStr">
        <is>
          <t>COLES BALWYN NORTH 565 BALWYN NORTH</t>
        </is>
      </c>
      <c r="C48" s="9" t="n">
        <v>23.15</v>
      </c>
      <c r="D48" s="10" t="inlineStr"/>
      <c r="E48" s="8" t="inlineStr">
        <is>
          <t>VICKI ZERTOPOULOS</t>
        </is>
      </c>
      <c r="F48" s="8" t="inlineStr">
        <is>
          <t>2020-12-22</t>
        </is>
      </c>
      <c r="G48" s="8" t="n"/>
    </row>
    <row r="49">
      <c r="A49" s="7" t="n">
        <v>44170</v>
      </c>
      <c r="B49" s="8" t="inlineStr">
        <is>
          <t>COLES BALWYN NORTH 565 BALWYN NORTH</t>
        </is>
      </c>
      <c r="C49" s="9" t="n">
        <v>286.53</v>
      </c>
      <c r="D49" s="10" t="inlineStr"/>
      <c r="E49" s="8" t="inlineStr">
        <is>
          <t>VICKI ZERTOPOULOS</t>
        </is>
      </c>
      <c r="F49" s="8" t="inlineStr">
        <is>
          <t>2020-12-22</t>
        </is>
      </c>
      <c r="G49" s="8" t="n"/>
    </row>
    <row r="50">
      <c r="A50" s="7" t="n">
        <v>44170</v>
      </c>
      <c r="B50" s="8" t="inlineStr">
        <is>
          <t>COLES BALWYN NORTH 565 BALWYN NORTH</t>
        </is>
      </c>
      <c r="C50" s="9" t="n">
        <v>273.8</v>
      </c>
      <c r="D50" s="10" t="inlineStr"/>
      <c r="E50" s="8" t="inlineStr">
        <is>
          <t>VICKI ZERTOPOULOS</t>
        </is>
      </c>
      <c r="F50" s="8" t="inlineStr">
        <is>
          <t>2020-12-22</t>
        </is>
      </c>
      <c r="G50" s="8" t="n"/>
    </row>
    <row r="51">
      <c r="A51" s="7" t="n">
        <v>44185</v>
      </c>
      <c r="B51" s="8" t="inlineStr">
        <is>
          <t>COLES BALWYN NORTH 565 BALWYN NORTH</t>
        </is>
      </c>
      <c r="C51" s="9" t="n">
        <v>16.5</v>
      </c>
      <c r="D51" s="10" t="inlineStr"/>
      <c r="E51" s="8" t="inlineStr">
        <is>
          <t>VICKI ZERTOPOULOS</t>
        </is>
      </c>
      <c r="F51" s="8" t="inlineStr">
        <is>
          <t>2020-12-22</t>
        </is>
      </c>
      <c r="G51" s="8" t="n"/>
    </row>
    <row r="52">
      <c r="A52" s="7" t="n">
        <v>44215</v>
      </c>
      <c r="B52" s="8" t="inlineStr">
        <is>
          <t>COLES BALWYN NORTH 565 BALWYN NORTH</t>
        </is>
      </c>
      <c r="C52" s="9" t="n">
        <v>231.86</v>
      </c>
      <c r="D52" s="10" t="inlineStr"/>
      <c r="E52" s="8" t="inlineStr">
        <is>
          <t>VICKI ZERTOPOULOS</t>
        </is>
      </c>
      <c r="F52" s="8" t="inlineStr">
        <is>
          <t>2021-01-22</t>
        </is>
      </c>
      <c r="G52" s="8" t="n"/>
    </row>
    <row r="53">
      <c r="A53" s="7" t="n">
        <v>44222</v>
      </c>
      <c r="B53" s="8" t="inlineStr">
        <is>
          <t>COLES BALWYN NORTH 565 BALWYN NORTH</t>
        </is>
      </c>
      <c r="C53" s="9" t="n">
        <v>32.34</v>
      </c>
      <c r="D53" s="10" t="inlineStr"/>
      <c r="E53" s="8" t="inlineStr">
        <is>
          <t>VICKI ZERTOPOULOS</t>
        </is>
      </c>
      <c r="F53" s="8" t="inlineStr">
        <is>
          <t>2021-02-22</t>
        </is>
      </c>
      <c r="G53" s="8" t="n"/>
    </row>
    <row r="54">
      <c r="A54" s="7" t="n">
        <v>44232</v>
      </c>
      <c r="B54" s="8" t="inlineStr">
        <is>
          <t>COLES BALWYN NORTH 565 BALWYN NORTH</t>
        </is>
      </c>
      <c r="C54" s="9" t="n">
        <v>73.93000000000001</v>
      </c>
      <c r="D54" s="10" t="inlineStr"/>
      <c r="E54" s="8" t="inlineStr">
        <is>
          <t>VICKI ZERTOPOULOS</t>
        </is>
      </c>
      <c r="F54" s="8" t="inlineStr">
        <is>
          <t>2021-02-22</t>
        </is>
      </c>
      <c r="G54" s="8" t="n"/>
    </row>
    <row r="55">
      <c r="A55" s="7" t="n">
        <v>44234</v>
      </c>
      <c r="B55" s="8" t="inlineStr">
        <is>
          <t>COLES BALWYN NORTH 565 BALWYN NORTH</t>
        </is>
      </c>
      <c r="C55" s="9" t="n">
        <v>314.65</v>
      </c>
      <c r="D55" s="10" t="inlineStr"/>
      <c r="E55" s="8" t="inlineStr">
        <is>
          <t>VICKI ZERTOPOULOS</t>
        </is>
      </c>
      <c r="F55" s="8" t="inlineStr">
        <is>
          <t>2021-02-22</t>
        </is>
      </c>
      <c r="G55" s="8" t="n"/>
    </row>
    <row r="56">
      <c r="A56" s="7" t="n">
        <v>44240</v>
      </c>
      <c r="B56" s="8" t="inlineStr">
        <is>
          <t>COLES BALWYN NORTH 565 BALWYN NORTH</t>
        </is>
      </c>
      <c r="C56" s="9" t="n">
        <v>147.35</v>
      </c>
      <c r="D56" s="10" t="inlineStr"/>
      <c r="E56" s="8" t="inlineStr">
        <is>
          <t>VICKI ZERTOPOULOS</t>
        </is>
      </c>
      <c r="F56" s="8" t="inlineStr">
        <is>
          <t>2021-02-22</t>
        </is>
      </c>
      <c r="G56" s="8" t="n"/>
    </row>
    <row r="57">
      <c r="A57" s="7" t="n">
        <v>44242</v>
      </c>
      <c r="B57" s="8" t="inlineStr">
        <is>
          <t>COLES BALWYN NORTH 565 BALWYN NORTH</t>
        </is>
      </c>
      <c r="C57" s="9" t="n">
        <v>6</v>
      </c>
      <c r="D57" s="10" t="inlineStr"/>
      <c r="E57" s="8" t="inlineStr">
        <is>
          <t>VICKI ZERTOPOULOS</t>
        </is>
      </c>
      <c r="F57" s="8" t="inlineStr">
        <is>
          <t>2021-02-22</t>
        </is>
      </c>
      <c r="G57" s="8" t="n"/>
    </row>
    <row r="58">
      <c r="A58" s="7" t="n">
        <v>44250</v>
      </c>
      <c r="B58" s="8" t="inlineStr">
        <is>
          <t>COLES BALWYN NORTH 565 BALWYN NORTH</t>
        </is>
      </c>
      <c r="C58" s="9" t="n">
        <v>94.48999999999999</v>
      </c>
      <c r="D58" s="10" t="inlineStr"/>
      <c r="E58" s="8" t="inlineStr">
        <is>
          <t>VICKI ZERTOPOULOS</t>
        </is>
      </c>
      <c r="F58" s="8" t="inlineStr">
        <is>
          <t>2021-03-22</t>
        </is>
      </c>
      <c r="G58" s="8" t="n"/>
    </row>
    <row r="59">
      <c r="A59" s="7" t="n">
        <v>44250</v>
      </c>
      <c r="B59" s="8" t="inlineStr">
        <is>
          <t>COLES BALWYN NORTH 565 BALWYN NORTH</t>
        </is>
      </c>
      <c r="C59" s="9" t="n">
        <v>12.5</v>
      </c>
      <c r="D59" s="10" t="inlineStr"/>
      <c r="E59" s="8" t="inlineStr">
        <is>
          <t>VICKI ZERTOPOULOS</t>
        </is>
      </c>
      <c r="F59" s="8" t="inlineStr">
        <is>
          <t>2021-03-22</t>
        </is>
      </c>
      <c r="G59" s="8" t="n"/>
    </row>
    <row r="60">
      <c r="A60" s="7" t="n">
        <v>44250</v>
      </c>
      <c r="B60" s="8" t="inlineStr">
        <is>
          <t>COLES BALWYN NORTH 565 BALWYN NORTH</t>
        </is>
      </c>
      <c r="C60" s="9" t="n">
        <v>13</v>
      </c>
      <c r="D60" s="10" t="inlineStr"/>
      <c r="E60" s="8" t="inlineStr">
        <is>
          <t>VICKI ZERTOPOULOS</t>
        </is>
      </c>
      <c r="F60" s="8" t="inlineStr">
        <is>
          <t>2021-03-22</t>
        </is>
      </c>
      <c r="G60" s="8" t="n"/>
    </row>
    <row r="61">
      <c r="A61" s="7" t="n">
        <v>44251</v>
      </c>
      <c r="B61" s="8" t="inlineStr">
        <is>
          <t>COLES BALWYN NORTH 565 BALWYN NORTH</t>
        </is>
      </c>
      <c r="C61" s="9" t="n">
        <v>173.6</v>
      </c>
      <c r="D61" s="10" t="inlineStr"/>
      <c r="E61" s="8" t="inlineStr">
        <is>
          <t>VICKI ZERTOPOULOS</t>
        </is>
      </c>
      <c r="F61" s="8" t="inlineStr">
        <is>
          <t>2021-03-22</t>
        </is>
      </c>
      <c r="G61" s="8" t="n"/>
    </row>
    <row r="62">
      <c r="A62" s="7" t="n">
        <v>44266</v>
      </c>
      <c r="B62" s="8" t="inlineStr">
        <is>
          <t>COLES BALWYN NORTH 565 BALWYN NORTH</t>
        </is>
      </c>
      <c r="C62" s="9" t="n">
        <v>205.43</v>
      </c>
      <c r="D62" s="10" t="inlineStr"/>
      <c r="E62" s="8" t="inlineStr">
        <is>
          <t>VICKI ZERTOPOULOS</t>
        </is>
      </c>
      <c r="F62" s="8" t="inlineStr">
        <is>
          <t>2021-03-22</t>
        </is>
      </c>
      <c r="G62" s="8" t="n"/>
    </row>
    <row r="63">
      <c r="A63" s="7" t="n">
        <v>44266</v>
      </c>
      <c r="B63" s="8" t="inlineStr">
        <is>
          <t>COLES BALWYN NORTH 565 BALWYN NORTH</t>
        </is>
      </c>
      <c r="C63" s="9" t="n">
        <v>17</v>
      </c>
      <c r="D63" s="10" t="inlineStr"/>
      <c r="E63" s="8" t="inlineStr">
        <is>
          <t>VICKI ZERTOPOULOS</t>
        </is>
      </c>
      <c r="F63" s="8" t="inlineStr">
        <is>
          <t>2021-03-22</t>
        </is>
      </c>
      <c r="G63" s="8" t="n"/>
    </row>
    <row r="64">
      <c r="A64" s="7" t="n">
        <v>44270</v>
      </c>
      <c r="B64" s="8" t="inlineStr">
        <is>
          <t>COLES BALWYN NORTH 565 BALWYN NORTH</t>
        </is>
      </c>
      <c r="C64" s="9" t="n">
        <v>166.72</v>
      </c>
      <c r="D64" s="10" t="inlineStr"/>
      <c r="E64" s="8" t="inlineStr">
        <is>
          <t>VICKI ZERTOPOULOS</t>
        </is>
      </c>
      <c r="F64" s="8" t="inlineStr">
        <is>
          <t>2021-03-22</t>
        </is>
      </c>
      <c r="G64" s="8" t="n"/>
    </row>
    <row r="65">
      <c r="A65" s="7" t="n">
        <v>44272</v>
      </c>
      <c r="B65" s="8" t="inlineStr">
        <is>
          <t>COLES BALWYN NORTH 565 BALWYN NORTH</t>
        </is>
      </c>
      <c r="C65" s="9" t="n">
        <v>276.88</v>
      </c>
      <c r="D65" s="10" t="inlineStr"/>
      <c r="E65" s="8" t="inlineStr">
        <is>
          <t>VICKI ZERTOPOULOS</t>
        </is>
      </c>
      <c r="F65" s="8" t="inlineStr">
        <is>
          <t>2021-03-22</t>
        </is>
      </c>
      <c r="G65" s="8" t="n"/>
    </row>
    <row r="66">
      <c r="A66" s="7" t="n">
        <v>44292</v>
      </c>
      <c r="B66" s="8" t="inlineStr">
        <is>
          <t>COLES BALWYN NORTH 565 BALWYN NORTH</t>
        </is>
      </c>
      <c r="C66" s="9" t="n">
        <v>357.5</v>
      </c>
      <c r="D66" s="10" t="inlineStr"/>
      <c r="E66" s="8" t="inlineStr">
        <is>
          <t>VICKI ZERTOPOULOS</t>
        </is>
      </c>
      <c r="F66" s="8" t="inlineStr">
        <is>
          <t>2021-04-22</t>
        </is>
      </c>
      <c r="G66" s="8" t="n"/>
    </row>
    <row r="67">
      <c r="A67" s="7" t="n">
        <v>44302</v>
      </c>
      <c r="B67" s="8" t="inlineStr">
        <is>
          <t>COLES BALWYN NORTH 565 BALWYN NORTH</t>
        </is>
      </c>
      <c r="C67" s="9" t="n">
        <v>212.57</v>
      </c>
      <c r="D67" s="10" t="inlineStr"/>
      <c r="E67" s="8" t="inlineStr">
        <is>
          <t>VICKI ZERTOPOULOS</t>
        </is>
      </c>
      <c r="F67" s="8" t="inlineStr">
        <is>
          <t>2021-04-22</t>
        </is>
      </c>
      <c r="G67" s="8" t="n"/>
    </row>
    <row r="68">
      <c r="A68" s="7" t="n">
        <v>44342</v>
      </c>
      <c r="B68" s="8" t="inlineStr">
        <is>
          <t>COLES BALWYN NORTH 565 BALWYN NORTH</t>
        </is>
      </c>
      <c r="C68" s="9" t="n">
        <v>26</v>
      </c>
      <c r="D68" s="10" t="inlineStr"/>
      <c r="E68" s="8" t="inlineStr">
        <is>
          <t>VICKI ZERTOPOULOS</t>
        </is>
      </c>
      <c r="F68" s="8" t="inlineStr">
        <is>
          <t>2021-06-22</t>
        </is>
      </c>
      <c r="G68" s="8" t="n"/>
    </row>
    <row r="69">
      <c r="A69" s="7" t="n">
        <v>44364</v>
      </c>
      <c r="B69" s="8" t="inlineStr">
        <is>
          <t>COLES BALWYN NORTH 565 BALWYN NORTH</t>
        </is>
      </c>
      <c r="C69" s="9" t="n">
        <v>186.21</v>
      </c>
      <c r="D69" s="10" t="inlineStr"/>
      <c r="E69" s="8" t="inlineStr">
        <is>
          <t>VICKI ZERTOPOULOS</t>
        </is>
      </c>
      <c r="F69" s="8" t="inlineStr">
        <is>
          <t>2021-06-22</t>
        </is>
      </c>
      <c r="G69" s="8" t="n"/>
    </row>
    <row r="70">
      <c r="A70" s="7" t="n">
        <v>44196</v>
      </c>
      <c r="B70" s="8" t="inlineStr">
        <is>
          <t>COLES BULLEEN 514 BULLEEN</t>
        </is>
      </c>
      <c r="C70" s="9" t="n">
        <v>12</v>
      </c>
      <c r="D70" s="10" t="inlineStr"/>
      <c r="E70" s="8" t="inlineStr">
        <is>
          <t>VICKI ZERTOPOULOS</t>
        </is>
      </c>
      <c r="F70" s="8" t="inlineStr">
        <is>
          <t>2021-01-22</t>
        </is>
      </c>
      <c r="G70" s="8" t="n"/>
    </row>
    <row r="71">
      <c r="A71" s="7" t="n">
        <v>44058</v>
      </c>
      <c r="B71" s="8" t="inlineStr">
        <is>
          <t>COLES DONCASTER 7735 DONCASTER</t>
        </is>
      </c>
      <c r="C71" s="9" t="n">
        <v>81.62</v>
      </c>
      <c r="D71" s="10" t="inlineStr"/>
      <c r="E71" s="8" t="inlineStr">
        <is>
          <t>VICKI ZERTOPOULOS</t>
        </is>
      </c>
      <c r="F71" s="8" t="inlineStr">
        <is>
          <t>2020-08-22</t>
        </is>
      </c>
      <c r="G71" s="8" t="n"/>
    </row>
    <row r="72">
      <c r="A72" s="7" t="n">
        <v>44088</v>
      </c>
      <c r="B72" s="8" t="inlineStr">
        <is>
          <t>COLES DONCASTER 7735 DONCASTER</t>
        </is>
      </c>
      <c r="C72" s="9" t="n">
        <v>101.18</v>
      </c>
      <c r="D72" s="10" t="inlineStr"/>
      <c r="E72" s="8" t="inlineStr">
        <is>
          <t>VICKI ZERTOPOULOS</t>
        </is>
      </c>
      <c r="F72" s="8" t="inlineStr">
        <is>
          <t>2020-09-22</t>
        </is>
      </c>
      <c r="G72" s="8" t="n"/>
    </row>
    <row r="73">
      <c r="A73" s="7" t="n">
        <v>44135</v>
      </c>
      <c r="B73" s="8" t="inlineStr">
        <is>
          <t>COLES DONCASTER 7735 DONCASTER</t>
        </is>
      </c>
      <c r="C73" s="9" t="n">
        <v>239.99</v>
      </c>
      <c r="D73" s="10" t="inlineStr"/>
      <c r="E73" s="8" t="inlineStr">
        <is>
          <t>VICKI ZERTOPOULOS</t>
        </is>
      </c>
      <c r="F73" s="8" t="inlineStr">
        <is>
          <t>2020-11-22</t>
        </is>
      </c>
      <c r="G73" s="8" t="n"/>
    </row>
    <row r="74">
      <c r="A74" s="7" t="n">
        <v>44196</v>
      </c>
      <c r="B74" s="8" t="inlineStr">
        <is>
          <t>COLES DONCASTER 7735 DONCASTER</t>
        </is>
      </c>
      <c r="C74" s="9" t="n">
        <v>58.4</v>
      </c>
      <c r="D74" s="10" t="inlineStr"/>
      <c r="E74" s="8" t="inlineStr">
        <is>
          <t>VICKI ZERTOPOULOS</t>
        </is>
      </c>
      <c r="F74" s="8" t="inlineStr">
        <is>
          <t>2021-01-22</t>
        </is>
      </c>
      <c r="G74" s="8" t="n"/>
    </row>
    <row r="75">
      <c r="A75" s="7" t="n">
        <v>44196</v>
      </c>
      <c r="B75" s="8" t="inlineStr">
        <is>
          <t>COLES DONCASTER 7735 DONCASTER</t>
        </is>
      </c>
      <c r="C75" s="9" t="n">
        <v>15.5</v>
      </c>
      <c r="D75" s="10" t="inlineStr"/>
      <c r="E75" s="8" t="inlineStr">
        <is>
          <t>VICKI ZERTOPOULOS</t>
        </is>
      </c>
      <c r="F75" s="8" t="inlineStr">
        <is>
          <t>2021-01-22</t>
        </is>
      </c>
      <c r="G75" s="8" t="n"/>
    </row>
    <row r="76">
      <c r="A76" s="7" t="n">
        <v>44214</v>
      </c>
      <c r="B76" s="8" t="inlineStr">
        <is>
          <t>COLES DONCASTER 7735 DONCASTER</t>
        </is>
      </c>
      <c r="C76" s="9" t="n">
        <v>8</v>
      </c>
      <c r="D76" s="10" t="inlineStr"/>
      <c r="E76" s="8" t="inlineStr">
        <is>
          <t>VICKI ZERTOPOULOS</t>
        </is>
      </c>
      <c r="F76" s="8" t="inlineStr">
        <is>
          <t>2021-01-22</t>
        </is>
      </c>
      <c r="G76" s="8" t="n"/>
    </row>
    <row r="77">
      <c r="A77" s="7" t="n">
        <v>44253</v>
      </c>
      <c r="B77" s="8" t="inlineStr">
        <is>
          <t>COLES DONCASTER 7735 DONCASTER</t>
        </is>
      </c>
      <c r="C77" s="9" t="n">
        <v>33</v>
      </c>
      <c r="D77" s="10" t="inlineStr"/>
      <c r="E77" s="8" t="inlineStr">
        <is>
          <t>VICKI ZERTOPOULOS</t>
        </is>
      </c>
      <c r="F77" s="8" t="inlineStr">
        <is>
          <t>2021-03-22</t>
        </is>
      </c>
      <c r="G77" s="8" t="n"/>
    </row>
    <row r="78">
      <c r="A78" s="7" t="n">
        <v>44276</v>
      </c>
      <c r="B78" s="8" t="inlineStr">
        <is>
          <t>COLES DONCASTER 7735 DONCASTER</t>
        </is>
      </c>
      <c r="C78" s="9" t="n">
        <v>157.18</v>
      </c>
      <c r="D78" s="10" t="inlineStr"/>
      <c r="E78" s="8" t="inlineStr">
        <is>
          <t>VICKI ZERTOPOULOS</t>
        </is>
      </c>
      <c r="F78" s="8" t="inlineStr">
        <is>
          <t>2021-03-22</t>
        </is>
      </c>
      <c r="G78" s="8" t="n"/>
    </row>
    <row r="79">
      <c r="A79" s="7" t="n">
        <v>44283</v>
      </c>
      <c r="B79" s="8" t="inlineStr">
        <is>
          <t>COLES DONCASTER 7735 DONCASTER</t>
        </is>
      </c>
      <c r="C79" s="9" t="n">
        <v>243.14</v>
      </c>
      <c r="D79" s="10" t="inlineStr"/>
      <c r="E79" s="8" t="inlineStr">
        <is>
          <t>VICKI ZERTOPOULOS</t>
        </is>
      </c>
      <c r="F79" s="8" t="inlineStr">
        <is>
          <t>2021-04-22</t>
        </is>
      </c>
      <c r="G79" s="8" t="n"/>
    </row>
    <row r="80">
      <c r="A80" s="7" t="n">
        <v>44286</v>
      </c>
      <c r="B80" s="8" t="inlineStr">
        <is>
          <t>COLES DONCASTER 7735 DONCASTER</t>
        </is>
      </c>
      <c r="C80" s="9" t="n">
        <v>42.8</v>
      </c>
      <c r="D80" s="10" t="inlineStr"/>
      <c r="E80" s="8" t="inlineStr">
        <is>
          <t>VICKI ZERTOPOULOS</t>
        </is>
      </c>
      <c r="F80" s="8" t="inlineStr">
        <is>
          <t>2021-04-22</t>
        </is>
      </c>
      <c r="G80" s="8" t="n"/>
    </row>
    <row r="81">
      <c r="A81" s="7" t="n">
        <v>44326</v>
      </c>
      <c r="B81" s="8" t="inlineStr">
        <is>
          <t>COLES DONCASTER 7735 DONCASTER</t>
        </is>
      </c>
      <c r="C81" s="9" t="n">
        <v>22.98</v>
      </c>
      <c r="D81" s="10" t="inlineStr"/>
      <c r="E81" s="8" t="inlineStr">
        <is>
          <t>VICKI ZERTOPOULOS</t>
        </is>
      </c>
      <c r="F81" s="8" t="inlineStr">
        <is>
          <t>2021-05-22</t>
        </is>
      </c>
      <c r="G81" s="8" t="n"/>
    </row>
    <row r="82">
      <c r="A82" s="7" t="n">
        <v>44343</v>
      </c>
      <c r="B82" s="8" t="inlineStr">
        <is>
          <t>COLES DONCASTER 7735 DONCASTER</t>
        </is>
      </c>
      <c r="C82" s="9" t="n">
        <v>51.55</v>
      </c>
      <c r="D82" s="10" t="inlineStr"/>
      <c r="E82" s="8" t="inlineStr">
        <is>
          <t>VICKI ZERTOPOULOS</t>
        </is>
      </c>
      <c r="F82" s="8" t="inlineStr">
        <is>
          <t>2021-06-22</t>
        </is>
      </c>
      <c r="G82" s="8" t="n"/>
    </row>
    <row r="83">
      <c r="A83" s="7" t="n">
        <v>44042</v>
      </c>
      <c r="B83" s="8" t="inlineStr">
        <is>
          <t>COLES EAST DONCASTER 52 DONCASTER EAST</t>
        </is>
      </c>
      <c r="C83" s="9" t="n">
        <v>25.79</v>
      </c>
      <c r="D83" s="10" t="inlineStr"/>
      <c r="E83" s="8" t="inlineStr">
        <is>
          <t>VICKI ZERTOPOULOS</t>
        </is>
      </c>
      <c r="F83" s="8" t="inlineStr">
        <is>
          <t>2020-08-22</t>
        </is>
      </c>
      <c r="G83" s="8" t="n"/>
    </row>
    <row r="84">
      <c r="A84" s="7" t="n">
        <v>44233</v>
      </c>
      <c r="B84" s="8" t="inlineStr">
        <is>
          <t>COLES EXPRESS ABBOTSFOR ABBOTSFORD</t>
        </is>
      </c>
      <c r="C84" s="9" t="n">
        <v>95.84</v>
      </c>
      <c r="D84" s="10" t="inlineStr"/>
      <c r="E84" s="8" t="inlineStr">
        <is>
          <t>VICKI ZERTOPOULOS</t>
        </is>
      </c>
      <c r="F84" s="8" t="inlineStr">
        <is>
          <t>2021-02-22</t>
        </is>
      </c>
      <c r="G84" s="8" t="n"/>
    </row>
    <row r="85">
      <c r="A85" s="7" t="n">
        <v>44132</v>
      </c>
      <c r="B85" s="8" t="inlineStr">
        <is>
          <t>COLES EXPRESS COLLINGWO COLLINGWOOD</t>
        </is>
      </c>
      <c r="C85" s="9" t="n">
        <v>109.48</v>
      </c>
      <c r="D85" s="10" t="inlineStr"/>
      <c r="E85" s="8" t="inlineStr">
        <is>
          <t>VICKI ZERTOPOULOS</t>
        </is>
      </c>
      <c r="F85" s="8" t="inlineStr">
        <is>
          <t>2020-11-22</t>
        </is>
      </c>
      <c r="G85" s="8" t="n"/>
    </row>
    <row r="86">
      <c r="A86" s="7" t="n">
        <v>44266</v>
      </c>
      <c r="B86" s="8" t="inlineStr">
        <is>
          <t>COLES EXPRESS COTHAM RO KEW</t>
        </is>
      </c>
      <c r="C86" s="9" t="n">
        <v>90.45</v>
      </c>
      <c r="D86" s="10" t="inlineStr"/>
      <c r="E86" s="8" t="inlineStr">
        <is>
          <t>VICKI ZERTOPOULOS</t>
        </is>
      </c>
      <c r="F86" s="8" t="inlineStr">
        <is>
          <t>2021-03-22</t>
        </is>
      </c>
      <c r="G86" s="8" t="n"/>
    </row>
    <row r="87">
      <c r="A87" s="7" t="n">
        <v>44333</v>
      </c>
      <c r="B87" s="8" t="inlineStr">
        <is>
          <t>COLES EXPRESS DONCASTER DONCASTER</t>
        </is>
      </c>
      <c r="C87" s="9" t="n">
        <v>100.92</v>
      </c>
      <c r="D87" s="10" t="inlineStr"/>
      <c r="E87" s="8" t="inlineStr">
        <is>
          <t>VICKI ZERTOPOULOS</t>
        </is>
      </c>
      <c r="F87" s="8" t="inlineStr">
        <is>
          <t>2021-05-22</t>
        </is>
      </c>
      <c r="G87" s="8" t="n"/>
    </row>
    <row r="88">
      <c r="A88" s="7" t="n">
        <v>44023</v>
      </c>
      <c r="B88" s="8" t="inlineStr">
        <is>
          <t>COLES EXPRESS KEW - 674 KEW EAST</t>
        </is>
      </c>
      <c r="C88" s="9" t="n">
        <v>64.41</v>
      </c>
      <c r="D88" s="10" t="inlineStr"/>
      <c r="E88" s="8" t="inlineStr">
        <is>
          <t>VICKI ZERTOPOULOS</t>
        </is>
      </c>
      <c r="F88" s="8" t="inlineStr">
        <is>
          <t>2020-07-22</t>
        </is>
      </c>
      <c r="G88" s="8" t="n"/>
    </row>
    <row r="89">
      <c r="A89" s="7" t="n">
        <v>44035</v>
      </c>
      <c r="B89" s="8" t="inlineStr">
        <is>
          <t>COLES KEW 7766 KEW</t>
        </is>
      </c>
      <c r="C89" s="9" t="n">
        <v>165.37</v>
      </c>
      <c r="D89" s="10" t="inlineStr"/>
      <c r="E89" s="8" t="inlineStr">
        <is>
          <t>VICKI ZERTOPOULOS</t>
        </is>
      </c>
      <c r="F89" s="8" t="inlineStr">
        <is>
          <t>2020-08-22</t>
        </is>
      </c>
      <c r="G89" s="8" t="n"/>
    </row>
    <row r="90">
      <c r="A90" s="7" t="n">
        <v>44111</v>
      </c>
      <c r="B90" s="8" t="inlineStr">
        <is>
          <t>COLES KEW 7766 KEW</t>
        </is>
      </c>
      <c r="C90" s="9" t="n">
        <v>24.95</v>
      </c>
      <c r="D90" s="10" t="inlineStr"/>
      <c r="E90" s="8" t="inlineStr">
        <is>
          <t>VICKI ZERTOPOULOS</t>
        </is>
      </c>
      <c r="F90" s="8" t="inlineStr">
        <is>
          <t>2020-10-22</t>
        </is>
      </c>
      <c r="G90" s="8" t="n"/>
    </row>
    <row r="91">
      <c r="A91" s="7" t="n">
        <v>44111</v>
      </c>
      <c r="B91" s="8" t="inlineStr">
        <is>
          <t>COLES KEW 7766 KEW</t>
        </is>
      </c>
      <c r="C91" s="9" t="n">
        <v>102.22</v>
      </c>
      <c r="D91" s="10" t="inlineStr"/>
      <c r="E91" s="8" t="inlineStr">
        <is>
          <t>VICKI ZERTOPOULOS</t>
        </is>
      </c>
      <c r="F91" s="8" t="inlineStr">
        <is>
          <t>2020-10-22</t>
        </is>
      </c>
      <c r="G91" s="8" t="n"/>
    </row>
    <row r="92">
      <c r="A92" s="7" t="n">
        <v>44153</v>
      </c>
      <c r="B92" s="8" t="inlineStr">
        <is>
          <t>COLES KEW 7766 KEW</t>
        </is>
      </c>
      <c r="C92" s="9" t="n">
        <v>323.62</v>
      </c>
      <c r="D92" s="10" t="inlineStr"/>
      <c r="E92" s="8" t="inlineStr">
        <is>
          <t>VICKI ZERTOPOULOS</t>
        </is>
      </c>
      <c r="F92" s="8" t="inlineStr">
        <is>
          <t>2020-11-22</t>
        </is>
      </c>
      <c r="G92" s="8" t="n"/>
    </row>
    <row r="93">
      <c r="A93" s="7" t="n">
        <v>44242</v>
      </c>
      <c r="B93" s="8" t="inlineStr">
        <is>
          <t>COLES KEW 7766 KEW</t>
        </is>
      </c>
      <c r="C93" s="9" t="n">
        <v>76.53</v>
      </c>
      <c r="D93" s="10" t="inlineStr"/>
      <c r="E93" s="8" t="inlineStr">
        <is>
          <t>VICKI ZERTOPOULOS</t>
        </is>
      </c>
      <c r="F93" s="8" t="inlineStr">
        <is>
          <t>2021-02-22</t>
        </is>
      </c>
      <c r="G93" s="8" t="n"/>
    </row>
    <row r="94">
      <c r="A94" s="7" t="n">
        <v>44292</v>
      </c>
      <c r="B94" s="8" t="inlineStr">
        <is>
          <t>COLES KEW 7766 KEW</t>
        </is>
      </c>
      <c r="C94" s="9" t="n">
        <v>15</v>
      </c>
      <c r="D94" s="10" t="inlineStr"/>
      <c r="E94" s="8" t="inlineStr">
        <is>
          <t>VICKI ZERTOPOULOS</t>
        </is>
      </c>
      <c r="F94" s="8" t="inlineStr">
        <is>
          <t>2021-04-22</t>
        </is>
      </c>
      <c r="G94" s="8" t="n"/>
    </row>
    <row r="95">
      <c r="A95" s="7" t="n">
        <v>44296</v>
      </c>
      <c r="B95" s="8" t="inlineStr">
        <is>
          <t>COLES KEW 7766 KEW</t>
        </is>
      </c>
      <c r="C95" s="9" t="n">
        <v>17.37</v>
      </c>
      <c r="D95" s="10" t="inlineStr"/>
      <c r="E95" s="8" t="inlineStr">
        <is>
          <t>VICKI ZERTOPOULOS</t>
        </is>
      </c>
      <c r="F95" s="8" t="inlineStr">
        <is>
          <t>2021-04-22</t>
        </is>
      </c>
      <c r="G95" s="8" t="n"/>
    </row>
    <row r="96">
      <c r="A96" s="7" t="n">
        <v>44326</v>
      </c>
      <c r="B96" s="8" t="inlineStr">
        <is>
          <t>COLES KEW 7766 KEW</t>
        </is>
      </c>
      <c r="C96" s="9" t="n">
        <v>127.45</v>
      </c>
      <c r="D96" s="10" t="inlineStr"/>
      <c r="E96" s="8" t="inlineStr">
        <is>
          <t>VICKI ZERTOPOULOS</t>
        </is>
      </c>
      <c r="F96" s="8" t="inlineStr">
        <is>
          <t>2021-05-22</t>
        </is>
      </c>
      <c r="G96" s="8" t="n"/>
    </row>
    <row r="97">
      <c r="A97" s="7" t="n">
        <v>44347</v>
      </c>
      <c r="B97" s="8" t="inlineStr">
        <is>
          <t>COLES KEW 7766 KEW</t>
        </is>
      </c>
      <c r="C97" s="9" t="n">
        <v>190.88</v>
      </c>
      <c r="D97" s="10" t="inlineStr"/>
      <c r="E97" s="8" t="inlineStr">
        <is>
          <t>VICKI ZERTOPOULOS</t>
        </is>
      </c>
      <c r="F97" s="8" t="inlineStr">
        <is>
          <t>2021-06-22</t>
        </is>
      </c>
      <c r="G97" s="8" t="n"/>
    </row>
    <row r="98">
      <c r="A98" s="7" t="n">
        <v>44352</v>
      </c>
      <c r="B98" s="8" t="inlineStr">
        <is>
          <t>COLES KEW 7766 KEW</t>
        </is>
      </c>
      <c r="C98" s="9" t="n">
        <v>37.99</v>
      </c>
      <c r="D98" s="10" t="inlineStr"/>
      <c r="E98" s="8" t="inlineStr">
        <is>
          <t>VICKI ZERTOPOULOS</t>
        </is>
      </c>
      <c r="F98" s="8" t="inlineStr">
        <is>
          <t>2021-06-22</t>
        </is>
      </c>
      <c r="G98" s="8" t="n"/>
    </row>
    <row r="99">
      <c r="A99" s="7" t="n">
        <v>44316</v>
      </c>
      <c r="B99" s="8" t="inlineStr">
        <is>
          <t>COLES OAKLEIGH 645 OAKLEIGH</t>
        </is>
      </c>
      <c r="C99" s="9" t="n">
        <v>9.5</v>
      </c>
      <c r="D99" s="10" t="inlineStr"/>
      <c r="E99" s="8" t="inlineStr">
        <is>
          <t>VICKI ZERTOPOULOS</t>
        </is>
      </c>
      <c r="F99" s="8" t="inlineStr">
        <is>
          <t>2021-05-22</t>
        </is>
      </c>
      <c r="G99" s="8" t="n"/>
    </row>
    <row r="100">
      <c r="A100" s="7" t="n">
        <v>44058</v>
      </c>
      <c r="B100" s="8" t="inlineStr">
        <is>
          <t>COLES ONLINE 7735 DONCA 7735 DONCASTE</t>
        </is>
      </c>
      <c r="C100" s="9" t="n">
        <v>92.15000000000001</v>
      </c>
      <c r="D100" s="10" t="inlineStr"/>
      <c r="E100" s="8" t="inlineStr">
        <is>
          <t>VICKI ZERTOPOULOS</t>
        </is>
      </c>
      <c r="F100" s="8" t="inlineStr">
        <is>
          <t>2020-08-22</t>
        </is>
      </c>
      <c r="G100" s="8" t="n"/>
    </row>
    <row r="101">
      <c r="A101" s="7" t="n">
        <v>44199</v>
      </c>
      <c r="B101" s="8" t="inlineStr">
        <is>
          <t>COLES ROSEBUD 696 ROSEBUD</t>
        </is>
      </c>
      <c r="C101" s="9" t="n">
        <v>47.2</v>
      </c>
      <c r="D101" s="10" t="inlineStr"/>
      <c r="E101" s="8" t="inlineStr">
        <is>
          <t>VICKI ZERTOPOULOS</t>
        </is>
      </c>
      <c r="F101" s="8" t="inlineStr">
        <is>
          <t>2021-01-22</t>
        </is>
      </c>
      <c r="G101" s="8" t="n"/>
    </row>
    <row r="102">
      <c r="A102" s="7" t="n">
        <v>44030</v>
      </c>
      <c r="B102" s="8" t="inlineStr">
        <is>
          <t>COLES SUPERMARKETS GLEN HAWTHORN</t>
        </is>
      </c>
      <c r="C102" s="9" t="n">
        <v>219</v>
      </c>
      <c r="D102" s="10" t="inlineStr"/>
      <c r="E102" s="8" t="inlineStr">
        <is>
          <t>VICKI ZERTOPOULOS</t>
        </is>
      </c>
      <c r="F102" s="8" t="inlineStr">
        <is>
          <t>2020-07-22</t>
        </is>
      </c>
      <c r="G102" s="8" t="n"/>
    </row>
    <row r="103">
      <c r="A103" s="7" t="n">
        <v>44034</v>
      </c>
      <c r="B103" s="8" t="inlineStr">
        <is>
          <t>COLES SUPERMARKETS GLEN HAWTHORN</t>
        </is>
      </c>
      <c r="C103" s="9" t="n">
        <v>55.27</v>
      </c>
      <c r="D103" s="10" t="inlineStr"/>
      <c r="E103" s="8" t="inlineStr">
        <is>
          <t>VICKI ZERTOPOULOS</t>
        </is>
      </c>
      <c r="F103" s="8" t="inlineStr">
        <is>
          <t>2020-08-22</t>
        </is>
      </c>
      <c r="G103" s="8" t="n"/>
    </row>
    <row r="104">
      <c r="A104" s="7" t="n">
        <v>44045</v>
      </c>
      <c r="B104" s="8" t="inlineStr">
        <is>
          <t>COLES SUPERMARKETS GLEN HAWTHORN</t>
        </is>
      </c>
      <c r="C104" s="9" t="n">
        <v>165.57</v>
      </c>
      <c r="D104" s="10" t="inlineStr"/>
      <c r="E104" s="8" t="inlineStr">
        <is>
          <t>VICKI ZERTOPOULOS</t>
        </is>
      </c>
      <c r="F104" s="8" t="inlineStr">
        <is>
          <t>2020-08-22</t>
        </is>
      </c>
      <c r="G104" s="8" t="n"/>
    </row>
    <row r="105">
      <c r="A105" s="7" t="n">
        <v>44123</v>
      </c>
      <c r="B105" s="8" t="inlineStr">
        <is>
          <t>COLES SUPERMARKETS GLEN HAWTHORN</t>
        </is>
      </c>
      <c r="C105" s="9" t="n">
        <v>63.7</v>
      </c>
      <c r="D105" s="10" t="inlineStr"/>
      <c r="E105" s="8" t="inlineStr">
        <is>
          <t>VICKI ZERTOPOULOS</t>
        </is>
      </c>
      <c r="F105" s="8" t="inlineStr">
        <is>
          <t>2020-10-22</t>
        </is>
      </c>
      <c r="G105" s="8" t="n"/>
    </row>
    <row r="106">
      <c r="A106" s="7" t="n">
        <v>44147</v>
      </c>
      <c r="B106" s="8" t="inlineStr">
        <is>
          <t>COLES SUPERMARKETS GLEN HAWTHORN</t>
        </is>
      </c>
      <c r="C106" s="9" t="n">
        <v>105.88</v>
      </c>
      <c r="D106" s="10" t="inlineStr"/>
      <c r="E106" s="8" t="inlineStr">
        <is>
          <t>VICKI ZERTOPOULOS</t>
        </is>
      </c>
      <c r="F106" s="8" t="inlineStr">
        <is>
          <t>2020-11-22</t>
        </is>
      </c>
      <c r="G106" s="8" t="n"/>
    </row>
    <row r="107">
      <c r="A107" s="7" t="n">
        <v>44184</v>
      </c>
      <c r="B107" s="8" t="inlineStr">
        <is>
          <t>COLES SUPERMARKETS GLEN HAWTHORN</t>
        </is>
      </c>
      <c r="C107" s="9" t="n">
        <v>1</v>
      </c>
      <c r="D107" s="10" t="inlineStr"/>
      <c r="E107" s="8" t="inlineStr">
        <is>
          <t>VICKI ZERTOPOULOS</t>
        </is>
      </c>
      <c r="F107" s="8" t="inlineStr">
        <is>
          <t>2020-12-22</t>
        </is>
      </c>
      <c r="G107" s="8" t="n"/>
    </row>
    <row r="108">
      <c r="A108" s="7" t="n">
        <v>44184</v>
      </c>
      <c r="B108" s="8" t="inlineStr">
        <is>
          <t>COLES SUPERMARKETS GLEN HAWTHORN</t>
        </is>
      </c>
      <c r="C108" s="9" t="n">
        <v>12.9</v>
      </c>
      <c r="D108" s="10" t="inlineStr"/>
      <c r="E108" s="8" t="inlineStr">
        <is>
          <t>VICKI ZERTOPOULOS</t>
        </is>
      </c>
      <c r="F108" s="8" t="inlineStr">
        <is>
          <t>2020-12-22</t>
        </is>
      </c>
      <c r="G108" s="8" t="n"/>
    </row>
    <row r="109">
      <c r="A109" s="7" t="n">
        <v>44195</v>
      </c>
      <c r="B109" s="8" t="inlineStr">
        <is>
          <t>COLES SUPERMARKETS GLEN HAWTHORN</t>
        </is>
      </c>
      <c r="C109" s="9" t="n">
        <v>93.31999999999999</v>
      </c>
      <c r="D109" s="10" t="inlineStr"/>
      <c r="E109" s="8" t="inlineStr">
        <is>
          <t>VICKI ZERTOPOULOS</t>
        </is>
      </c>
      <c r="F109" s="8" t="inlineStr">
        <is>
          <t>2021-01-22</t>
        </is>
      </c>
      <c r="G109" s="8" t="n"/>
    </row>
    <row r="110">
      <c r="A110" s="7" t="n">
        <v>44208</v>
      </c>
      <c r="B110" s="8" t="inlineStr">
        <is>
          <t>COLES SUPERMARKETS GLEN HAWTHORN</t>
        </is>
      </c>
      <c r="C110" s="9" t="n">
        <v>64.31</v>
      </c>
      <c r="D110" s="10" t="inlineStr"/>
      <c r="E110" s="8" t="inlineStr">
        <is>
          <t>VICKI ZERTOPOULOS</t>
        </is>
      </c>
      <c r="F110" s="8" t="inlineStr">
        <is>
          <t>2021-01-22</t>
        </is>
      </c>
      <c r="G110" s="8" t="n"/>
    </row>
    <row r="111">
      <c r="A111" s="7" t="n">
        <v>44319</v>
      </c>
      <c r="B111" s="8" t="inlineStr">
        <is>
          <t>COLES SUPERMARKETS GLEN HAWTHORN</t>
        </is>
      </c>
      <c r="C111" s="9" t="n">
        <v>30.5</v>
      </c>
      <c r="D111" s="10" t="inlineStr"/>
      <c r="E111" s="8" t="inlineStr">
        <is>
          <t>VICKI ZERTOPOULOS</t>
        </is>
      </c>
      <c r="F111" s="8" t="inlineStr">
        <is>
          <t>2021-05-22</t>
        </is>
      </c>
      <c r="G111" s="8" t="n"/>
    </row>
    <row r="112">
      <c r="A112" s="7" t="n">
        <v>44358</v>
      </c>
      <c r="B112" s="8" t="inlineStr">
        <is>
          <t>COLES SUPERMARKETS GLEN HAWTHORN</t>
        </is>
      </c>
      <c r="C112" s="9" t="n">
        <v>138.5</v>
      </c>
      <c r="D112" s="10" t="inlineStr"/>
      <c r="E112" s="8" t="inlineStr">
        <is>
          <t>VICKI ZERTOPOULOS</t>
        </is>
      </c>
      <c r="F112" s="8" t="inlineStr">
        <is>
          <t>2021-06-22</t>
        </is>
      </c>
      <c r="G112" s="8" t="n"/>
    </row>
    <row r="113">
      <c r="A113" s="7" t="n">
        <v>44374</v>
      </c>
      <c r="B113" s="8" t="inlineStr">
        <is>
          <t>COLES SUPERMARKETS GLEN HAWTHORN</t>
        </is>
      </c>
      <c r="C113" s="9" t="n">
        <v>80.90000000000001</v>
      </c>
      <c r="D113" s="10" t="inlineStr"/>
      <c r="E113" s="8" t="inlineStr">
        <is>
          <t>VICKI ZERTOPOULOS</t>
        </is>
      </c>
      <c r="F113" s="8" t="inlineStr">
        <is>
          <t>2021-07-22</t>
        </is>
      </c>
      <c r="G113" s="8" t="n"/>
    </row>
    <row r="114">
      <c r="A114" s="7" t="n">
        <v>44216</v>
      </c>
      <c r="B114" s="8" t="inlineStr">
        <is>
          <t>COUNTRY ROAD - DONCASTE DONCASTER</t>
        </is>
      </c>
      <c r="C114" s="9" t="n">
        <v>312.87</v>
      </c>
      <c r="D114" s="10" t="inlineStr"/>
      <c r="E114" s="8" t="inlineStr">
        <is>
          <t>VICKI ZERTOPOULOS</t>
        </is>
      </c>
      <c r="F114" s="8" t="inlineStr">
        <is>
          <t>2021-01-22</t>
        </is>
      </c>
      <c r="G114" s="8" t="n"/>
    </row>
    <row r="115">
      <c r="A115" s="7" t="n">
        <v>44085</v>
      </c>
      <c r="B115" s="8" t="inlineStr">
        <is>
          <t>CULTIVATE NURSERY &amp; GIF BALWYN NORTH</t>
        </is>
      </c>
      <c r="C115" s="9" t="n">
        <v>40</v>
      </c>
      <c r="D115" s="10" t="inlineStr"/>
      <c r="E115" s="8" t="inlineStr">
        <is>
          <t>VICKI ZERTOPOULOS</t>
        </is>
      </c>
      <c r="F115" s="8" t="inlineStr">
        <is>
          <t>2020-09-22</t>
        </is>
      </c>
      <c r="G115" s="8" t="n"/>
    </row>
    <row r="116">
      <c r="A116" s="7" t="n">
        <v>44169</v>
      </c>
      <c r="B116" s="8" t="inlineStr">
        <is>
          <t>CULTIVATE NURSERY &amp; GIF BALWYN NORTH</t>
        </is>
      </c>
      <c r="C116" s="9" t="n">
        <v>30</v>
      </c>
      <c r="D116" s="10" t="inlineStr"/>
      <c r="E116" s="8" t="inlineStr">
        <is>
          <t>VICKI ZERTOPOULOS</t>
        </is>
      </c>
      <c r="F116" s="8" t="inlineStr">
        <is>
          <t>2020-12-22</t>
        </is>
      </c>
      <c r="G116" s="8" t="n"/>
    </row>
    <row r="117">
      <c r="A117" s="7" t="n">
        <v>44169</v>
      </c>
      <c r="B117" s="8" t="inlineStr">
        <is>
          <t>CULTIVATE NURSERY &amp; GIF BALWYN NORTH</t>
        </is>
      </c>
      <c r="C117" s="9" t="n">
        <v>103.5</v>
      </c>
      <c r="D117" s="10" t="inlineStr"/>
      <c r="E117" s="8" t="inlineStr">
        <is>
          <t>VICKI ZERTOPOULOS</t>
        </is>
      </c>
      <c r="F117" s="8" t="inlineStr">
        <is>
          <t>2020-12-22</t>
        </is>
      </c>
      <c r="G117" s="8" t="n"/>
    </row>
    <row r="118">
      <c r="A118" s="7" t="n">
        <v>44183</v>
      </c>
      <c r="B118" s="8" t="inlineStr">
        <is>
          <t>CULTIVATE NURSERY &amp; GIF BALWYN NORTH</t>
        </is>
      </c>
      <c r="C118" s="9" t="n">
        <v>21.9</v>
      </c>
      <c r="D118" s="10" t="inlineStr"/>
      <c r="E118" s="8" t="inlineStr">
        <is>
          <t>VICKI ZERTOPOULOS</t>
        </is>
      </c>
      <c r="F118" s="8" t="inlineStr">
        <is>
          <t>2020-12-22</t>
        </is>
      </c>
      <c r="G118" s="8" t="n"/>
    </row>
    <row r="119">
      <c r="A119" s="7" t="n">
        <v>44183</v>
      </c>
      <c r="B119" s="8" t="inlineStr">
        <is>
          <t>CULTIVATE NURSERY &amp; GIF BALWYN NORTH</t>
        </is>
      </c>
      <c r="C119" s="9" t="n">
        <v>68.5</v>
      </c>
      <c r="D119" s="10" t="inlineStr"/>
      <c r="E119" s="8" t="inlineStr">
        <is>
          <t>VICKI ZERTOPOULOS</t>
        </is>
      </c>
      <c r="F119" s="8" t="inlineStr">
        <is>
          <t>2020-12-22</t>
        </is>
      </c>
      <c r="G119" s="8" t="n"/>
    </row>
    <row r="120">
      <c r="A120" s="7" t="n">
        <v>44020</v>
      </c>
      <c r="B120" s="8" t="inlineStr">
        <is>
          <t>DAVID JONES BOURKE STRE MELBOURNE</t>
        </is>
      </c>
      <c r="C120" s="9" t="n">
        <v>9.92</v>
      </c>
      <c r="D120" s="10" t="inlineStr"/>
      <c r="E120" s="8" t="inlineStr">
        <is>
          <t>VICKI ZERTOPOULOS</t>
        </is>
      </c>
      <c r="F120" s="8" t="inlineStr">
        <is>
          <t>2020-07-22</t>
        </is>
      </c>
      <c r="G120" s="8" t="inlineStr">
        <is>
          <t>320101330105 Sandwich Bar 11.95; 320101330105 MARKDOWN 5.98CR; 320101330105 Coffee Bar 3.95</t>
        </is>
      </c>
    </row>
    <row r="121">
      <c r="A121" s="7" t="n">
        <v>44020</v>
      </c>
      <c r="B121" s="8" t="inlineStr">
        <is>
          <t>DAVID JONES BOURKE STRE MELBOURNE</t>
        </is>
      </c>
      <c r="C121" s="9" t="n">
        <v>138.95</v>
      </c>
      <c r="D121" s="10" t="inlineStr"/>
      <c r="E121" s="8" t="inlineStr">
        <is>
          <t>VICKI ZERTOPOULOS</t>
        </is>
      </c>
      <c r="F121" s="8" t="inlineStr">
        <is>
          <t>2020-07-22</t>
        </is>
      </c>
      <c r="G121" s="8" t="inlineStr">
        <is>
          <t>3 Months Pay Later 320101634698 Home Decor 50.15; 320101634698 MARKDOWN 29.50CR; 320101634698 Home Decor 50.15; 320101634698 MARKDOWN 29.50CR; 320101634698 Home Decor 85.00; 320101634698 MARKDOWN 50.00CR; 320101634698 Home Decor 152.15; 320101634698 MARKDOWN 89.50CR</t>
        </is>
      </c>
    </row>
    <row r="122">
      <c r="A122" s="7" t="n">
        <v>44191</v>
      </c>
      <c r="B122" s="8" t="inlineStr">
        <is>
          <t>DAVID JONES BOURKE STRE MELBOURNE</t>
        </is>
      </c>
      <c r="C122" s="9" t="n">
        <v>83.91</v>
      </c>
      <c r="D122" s="10" t="inlineStr"/>
      <c r="E122" s="8" t="inlineStr">
        <is>
          <t>VICKI ZERTOPOULOS</t>
        </is>
      </c>
      <c r="F122" s="8" t="inlineStr">
        <is>
          <t>2021-01-22</t>
        </is>
      </c>
      <c r="G122" s="8" t="inlineStr">
        <is>
          <t>320100091850 Stationery 27.97; 320100091850 Stationery 27.97; 320100091850 Kitchen &amp; Cookw 27.97</t>
        </is>
      </c>
    </row>
    <row r="123">
      <c r="A123" s="7" t="n">
        <v>44191</v>
      </c>
      <c r="B123" s="8" t="inlineStr">
        <is>
          <t>DAVID JONES BOURKE STRE MELBOURNE</t>
        </is>
      </c>
      <c r="C123" s="9" t="n">
        <v>38.47</v>
      </c>
      <c r="D123" s="10" t="inlineStr"/>
      <c r="E123" s="8" t="inlineStr">
        <is>
          <t>VICKI ZERTOPOULOS</t>
        </is>
      </c>
      <c r="F123" s="8" t="inlineStr">
        <is>
          <t>2021-01-22</t>
        </is>
      </c>
      <c r="G123" s="8" t="inlineStr">
        <is>
          <t>320100091853 Kitchen &amp; Cookw 38.47</t>
        </is>
      </c>
    </row>
    <row r="124">
      <c r="A124" s="7" t="n">
        <v>44191</v>
      </c>
      <c r="B124" s="8" t="inlineStr">
        <is>
          <t>DAVID JONES BOURKE STRE MELBOURNE</t>
        </is>
      </c>
      <c r="C124" s="9" t="n">
        <v>2403</v>
      </c>
      <c r="D124" s="10" t="inlineStr"/>
      <c r="E124" s="8" t="inlineStr">
        <is>
          <t>VICKI ZERTOPOULOS</t>
        </is>
      </c>
      <c r="F124" s="8" t="inlineStr">
        <is>
          <t>2021-01-22</t>
        </is>
      </c>
      <c r="G124" s="8" t="inlineStr">
        <is>
          <t>3 Months Pay Later 320100381319 Sandro 615.00; 320100381319 Sandro 378.00; 320100381319 Maje 530.00; 320100381319 Sandro 440.00; 320100381319 Sandro 440.00</t>
        </is>
      </c>
    </row>
    <row r="125">
      <c r="A125" s="7" t="n">
        <v>44231</v>
      </c>
      <c r="B125" s="8" t="inlineStr">
        <is>
          <t>DAVID JONES BOURKE STRE MELBOURNE</t>
        </is>
      </c>
      <c r="C125" s="9" t="n">
        <v>94</v>
      </c>
      <c r="D125" s="10" t="inlineStr"/>
      <c r="E125" s="8" t="inlineStr">
        <is>
          <t>VICKI ZERTOPOULOS</t>
        </is>
      </c>
      <c r="F125" s="8" t="inlineStr">
        <is>
          <t>2021-02-22</t>
        </is>
      </c>
      <c r="G125" s="8" t="inlineStr">
        <is>
          <t>3 Months Pay Later 320100745332 Bobbi Brown 47.00; 320100745332 Bobbi Brown 47.00</t>
        </is>
      </c>
    </row>
    <row r="126">
      <c r="A126" s="7" t="n">
        <v>44233</v>
      </c>
      <c r="B126" s="8" t="inlineStr">
        <is>
          <t>DAVID JONES BOURKE STRE MELBOURNE</t>
        </is>
      </c>
      <c r="C126" s="9" t="n">
        <v>695</v>
      </c>
      <c r="D126" s="10" t="inlineStr"/>
      <c r="E126" s="8" t="inlineStr">
        <is>
          <t>VICKI ZERTOPOULOS</t>
        </is>
      </c>
      <c r="F126" s="8" t="inlineStr">
        <is>
          <t>2021-02-22</t>
        </is>
      </c>
      <c r="G126" s="8" t="inlineStr">
        <is>
          <t>3 Months Pay Later 320100482120 Zimmermann 695.00</t>
        </is>
      </c>
    </row>
    <row r="127">
      <c r="A127" s="7" t="n">
        <v>44248</v>
      </c>
      <c r="B127" s="8" t="inlineStr">
        <is>
          <t>DAVID JONES BOURKE STRE MELBOURNE</t>
        </is>
      </c>
      <c r="C127" s="9" t="n">
        <v>27.9</v>
      </c>
      <c r="D127" s="10" t="inlineStr"/>
      <c r="E127" s="8" t="inlineStr">
        <is>
          <t>VICKI ZERTOPOULOS</t>
        </is>
      </c>
      <c r="F127" s="8" t="inlineStr">
        <is>
          <t>2021-02-22</t>
        </is>
      </c>
      <c r="G127" s="8" t="inlineStr">
        <is>
          <t>320101339375 Coffee Bar 12.00; 320101339375 Coffee Bar 10.00; 320101339375 Gourmet 2.95; 320101339375 Gourmet 2.95</t>
        </is>
      </c>
    </row>
    <row r="128">
      <c r="A128" s="7" t="n">
        <v>44248</v>
      </c>
      <c r="B128" s="8" t="inlineStr">
        <is>
          <t>DAVID JONES BOURKE STRE MELBOURNE</t>
        </is>
      </c>
      <c r="C128" s="9" t="n">
        <v>34.99</v>
      </c>
      <c r="D128" s="10" t="inlineStr"/>
      <c r="E128" s="8" t="inlineStr">
        <is>
          <t>VICKI ZERTOPOULOS</t>
        </is>
      </c>
      <c r="F128" s="8" t="inlineStr">
        <is>
          <t>2021-02-22</t>
        </is>
      </c>
      <c r="G128" s="8" t="inlineStr">
        <is>
          <t>320101339378 Books 34.99</t>
        </is>
      </c>
    </row>
    <row r="129">
      <c r="A129" s="7" t="n">
        <v>44248</v>
      </c>
      <c r="B129" s="8" t="inlineStr">
        <is>
          <t>DAVID JONES BOURKE STRE MELBOURNE</t>
        </is>
      </c>
      <c r="C129" s="9" t="n">
        <v>1200</v>
      </c>
      <c r="D129" s="10" t="inlineStr"/>
      <c r="E129" s="8" t="inlineStr">
        <is>
          <t>VICKI ZERTOPOULOS</t>
        </is>
      </c>
      <c r="F129" s="8" t="inlineStr">
        <is>
          <t>2021-02-22</t>
        </is>
      </c>
      <c r="G129" s="8" t="inlineStr">
        <is>
          <t>3 Months Pay Later 320101404357 Politix 149.00; 320101404357 MARKDOWN 50.00CR; 320101404357 Politix 149.00; 320101404357 MARKDOWN 50.00CR; 320101404357 Politix 149.00; 320101404357 MARKDOWN 50.00CR; 320101404357 Politix 149.00; 320101404357 MARKDOWN 50.00CR; 320101404357 Politix 139.00; 320101404357 Politix 149.00; 320101404357 Politix 269.00; 320101404357 MARKDOWN 100.00CR; 320101404357 Politix 269.00; 320101404357 MARKDOWN 100.00CR; 320101404357 Politix 49.00; 320101404357 Politix 179.00; 320101404357 MARKDOWN 50.00CR</t>
        </is>
      </c>
    </row>
    <row r="130">
      <c r="A130" s="7" t="n">
        <v>44267</v>
      </c>
      <c r="B130" s="8" t="inlineStr">
        <is>
          <t>DAVID JONES BOURKE STRE MELBOURNE</t>
        </is>
      </c>
      <c r="C130" s="9" t="n">
        <v>435.37</v>
      </c>
      <c r="D130" s="10" t="inlineStr"/>
      <c r="E130" s="8" t="inlineStr">
        <is>
          <t>VICKI ZERTOPOULOS</t>
        </is>
      </c>
      <c r="F130" s="8" t="inlineStr">
        <is>
          <t>2021-03-22</t>
        </is>
      </c>
      <c r="G130" s="8" t="inlineStr">
        <is>
          <t>3 Months Pay Later 320100968133 Contemp Handbag 499.87; 320100968133 MARKDOWN 64.50CR</t>
        </is>
      </c>
    </row>
    <row r="131">
      <c r="A131" s="7" t="n">
        <v>44301</v>
      </c>
      <c r="B131" s="8" t="inlineStr">
        <is>
          <t>DAVID JONES BOURKE STRE MELBOURNE</t>
        </is>
      </c>
      <c r="C131" s="9" t="n">
        <v>219.2</v>
      </c>
      <c r="D131" s="10" t="inlineStr"/>
      <c r="E131" s="8" t="inlineStr">
        <is>
          <t>VICKI ZERTOPOULOS</t>
        </is>
      </c>
      <c r="F131" s="8" t="inlineStr">
        <is>
          <t>2021-04-22</t>
        </is>
      </c>
      <c r="G131" s="8" t="inlineStr">
        <is>
          <t>3 Months Pay Later 320100262016 Womens Contemp 319.20; 320100262016 PAYMENT BY CASH 100.00CR</t>
        </is>
      </c>
    </row>
    <row r="132">
      <c r="A132" s="7" t="n">
        <v>44304</v>
      </c>
      <c r="B132" s="8" t="inlineStr">
        <is>
          <t>DAVID JONES BOURKE STRE MELBOURNE</t>
        </is>
      </c>
      <c r="C132" s="9" t="n">
        <v>255</v>
      </c>
      <c r="D132" s="10" t="inlineStr"/>
      <c r="E132" s="8" t="inlineStr">
        <is>
          <t>VICKI ZERTOPOULOS</t>
        </is>
      </c>
      <c r="F132" s="8" t="inlineStr">
        <is>
          <t>2021-04-22</t>
        </is>
      </c>
      <c r="G132" s="8" t="inlineStr">
        <is>
          <t>320100611689 Cue 255.00</t>
        </is>
      </c>
    </row>
    <row r="133">
      <c r="A133" s="7" t="n">
        <v>44304</v>
      </c>
      <c r="B133" s="8" t="inlineStr">
        <is>
          <t>DAVID JONES BOURKE STRE MELBOURNE</t>
        </is>
      </c>
      <c r="C133" s="9" t="n">
        <v>255</v>
      </c>
      <c r="D133" s="10" t="inlineStr"/>
      <c r="E133" s="8" t="inlineStr">
        <is>
          <t>VICKI ZERTOPOULOS</t>
        </is>
      </c>
      <c r="F133" s="8" t="inlineStr">
        <is>
          <t>2021-04-22</t>
        </is>
      </c>
      <c r="G133" s="8" t="inlineStr">
        <is>
          <t>3 Months Pay Later 320100574075 Cue 255.00</t>
        </is>
      </c>
    </row>
    <row r="134">
      <c r="A134" s="7" t="n">
        <v>44305</v>
      </c>
      <c r="B134" s="8" t="inlineStr">
        <is>
          <t>DAVID JONES BOURKE STRE MELBOURNE</t>
        </is>
      </c>
      <c r="C134" s="9" t="n">
        <v>12</v>
      </c>
      <c r="D134" s="10" t="inlineStr"/>
      <c r="E134" s="8" t="inlineStr">
        <is>
          <t>VICKI ZERTOPOULOS</t>
        </is>
      </c>
      <c r="F134" s="8" t="inlineStr">
        <is>
          <t>2021-04-22</t>
        </is>
      </c>
      <c r="G134" s="8" t="inlineStr">
        <is>
          <t>320101337471 Coffee Bar 12.00</t>
        </is>
      </c>
    </row>
    <row r="135">
      <c r="A135" s="7" t="n">
        <v>44365</v>
      </c>
      <c r="B135" s="8" t="inlineStr">
        <is>
          <t>DAVID JONES BOURKE STRE MELBOURNE</t>
        </is>
      </c>
      <c r="C135" s="9" t="n">
        <v>31.96</v>
      </c>
      <c r="D135" s="10" t="inlineStr"/>
      <c r="E135" s="8" t="inlineStr">
        <is>
          <t>VICKI ZERTOPOULOS</t>
        </is>
      </c>
      <c r="F135" s="8" t="inlineStr">
        <is>
          <t>2021-06-22</t>
        </is>
      </c>
      <c r="G135" s="8" t="inlineStr">
        <is>
          <t>320100630628 Seed 39.95; 320100630628 MARKDOWN 7.99CR</t>
        </is>
      </c>
    </row>
    <row r="136">
      <c r="A136" s="7" t="n">
        <v>44365</v>
      </c>
      <c r="B136" s="8" t="inlineStr">
        <is>
          <t>DAVID JONES BOURKE STRE MELBOURNE</t>
        </is>
      </c>
      <c r="C136" s="9" t="n">
        <v>344.84</v>
      </c>
      <c r="D136" s="10" t="inlineStr"/>
      <c r="E136" s="8" t="inlineStr">
        <is>
          <t>VICKI ZERTOPOULOS</t>
        </is>
      </c>
      <c r="F136" s="8" t="inlineStr">
        <is>
          <t>2021-06-22</t>
        </is>
      </c>
      <c r="G136" s="8" t="inlineStr">
        <is>
          <t>3 Months Pay Later 320100262489 Womens Designer 436.80; 320100262489 PAYMENT BY OTHER MEANS 39.96CR; 320100262489 PAYMENT BY OTHER MEANS 52.00CR</t>
        </is>
      </c>
    </row>
    <row r="137">
      <c r="A137" s="7" t="n">
        <v>44365</v>
      </c>
      <c r="B137" s="8" t="inlineStr">
        <is>
          <t>DAVID JONES BOURKE STRE MELBOURNE</t>
        </is>
      </c>
      <c r="C137" s="9" t="n">
        <v>178.08</v>
      </c>
      <c r="D137" s="10" t="inlineStr"/>
      <c r="E137" s="8" t="inlineStr">
        <is>
          <t>VICKI ZERTOPOULOS</t>
        </is>
      </c>
      <c r="F137" s="8" t="inlineStr">
        <is>
          <t>2021-06-22</t>
        </is>
      </c>
      <c r="G137" s="8" t="inlineStr">
        <is>
          <t>3 Months Pay Later 320100630637 Veronika Maine 111.30; 320100630637 MARKDOWN 22.26CR; 320100630637 Veronika Maine 111.30; 320100630637 MARKDOWN 22.26CR</t>
        </is>
      </c>
    </row>
    <row r="138">
      <c r="A138" s="7" t="n">
        <v>44175</v>
      </c>
      <c r="B138" s="8" t="inlineStr">
        <is>
          <t>DAVID JONES CHADSTONE - CHADSTONE</t>
        </is>
      </c>
      <c r="C138" s="9" t="n">
        <v>604.3200000000001</v>
      </c>
      <c r="D138" s="10" t="inlineStr"/>
      <c r="E138" s="8" t="inlineStr">
        <is>
          <t>VICKI ZERTOPOULOS</t>
        </is>
      </c>
      <c r="F138" s="8" t="inlineStr">
        <is>
          <t>2020-12-22</t>
        </is>
      </c>
      <c r="G138" s="8" t="inlineStr">
        <is>
          <t>3 Months Pay Later 320600443056 Witchery 149.95; 320600443056 MARKDOWN 52.48CR; 320600443056 Witchery 59.95; 320600443056 MARKDOWN 20.98CR; 320600443056 Witchery 59.95; 320600443056 MARKDOWN 20.98CR; 320600443056 Witchery 179.95; 320600443056 MARKDOWN 62.98CR; 320600443056 Witchery 179.95; 320600443056 MARKDOWN 62.98CR; 320600443056 Witchery 299.95; 320600443056 MARKDOWN 104.98CR</t>
        </is>
      </c>
    </row>
    <row r="139">
      <c r="A139" s="7" t="n">
        <v>44294</v>
      </c>
      <c r="B139" s="8" t="inlineStr">
        <is>
          <t>DAVID JONES CHADSTONE - CHADSTONE</t>
        </is>
      </c>
      <c r="C139" s="9" t="n">
        <v>1095</v>
      </c>
      <c r="D139" s="10" t="inlineStr"/>
      <c r="E139" s="8" t="inlineStr">
        <is>
          <t>VICKI ZERTOPOULOS</t>
        </is>
      </c>
      <c r="F139" s="8" t="inlineStr">
        <is>
          <t>2021-04-22</t>
        </is>
      </c>
      <c r="G139" s="8" t="inlineStr">
        <is>
          <t>3 Months Pay Later 320600467774 Bianca Spender 1,095.00</t>
        </is>
      </c>
    </row>
    <row r="140">
      <c r="A140" s="7" t="n">
        <v>44342</v>
      </c>
      <c r="B140" s="8" t="inlineStr">
        <is>
          <t>DAVID JONES CHADSTONE - CHADSTONE</t>
        </is>
      </c>
      <c r="C140" s="9" t="n">
        <v>614.25</v>
      </c>
      <c r="D140" s="10" t="inlineStr"/>
      <c r="E140" s="8" t="inlineStr">
        <is>
          <t>VICKI ZERTOPOULOS</t>
        </is>
      </c>
      <c r="F140" s="8" t="inlineStr">
        <is>
          <t>2021-06-22</t>
        </is>
      </c>
      <c r="G140" s="8" t="inlineStr">
        <is>
          <t>3 Months Pay Later 320600565026 Womens Designer 682.50; 320600565026 MARKDOWN 68.25CR</t>
        </is>
      </c>
    </row>
    <row r="141">
      <c r="A141" s="7" t="n">
        <v>44046</v>
      </c>
      <c r="B141" s="8" t="inlineStr">
        <is>
          <t>DAVID JONES DONCASTER - DONCASTER</t>
        </is>
      </c>
      <c r="C141" s="9" t="n">
        <v>79</v>
      </c>
      <c r="D141" s="10" t="inlineStr"/>
      <c r="E141" s="8" t="inlineStr">
        <is>
          <t>VICKI ZERTOPOULOS</t>
        </is>
      </c>
      <c r="F141" s="8" t="inlineStr">
        <is>
          <t>2020-08-22</t>
        </is>
      </c>
      <c r="G141" s="8" t="inlineStr">
        <is>
          <t>320803398342 Chanel 79.00</t>
        </is>
      </c>
    </row>
    <row r="142">
      <c r="A142" s="7" t="n">
        <v>44148</v>
      </c>
      <c r="B142" s="8" t="inlineStr">
        <is>
          <t>DAVID JONES DONCASTER - DONCASTER</t>
        </is>
      </c>
      <c r="C142" s="9" t="n">
        <v>300</v>
      </c>
      <c r="D142" s="10" t="inlineStr"/>
      <c r="E142" s="8" t="inlineStr">
        <is>
          <t>VICKI ZERTOPOULOS</t>
        </is>
      </c>
      <c r="F142" s="8" t="inlineStr">
        <is>
          <t>2020-11-22</t>
        </is>
      </c>
      <c r="G142" s="8" t="inlineStr">
        <is>
          <t>320803327794 Young Fashion 300.00</t>
        </is>
      </c>
    </row>
    <row r="143">
      <c r="A143" s="7" t="n">
        <v>44148</v>
      </c>
      <c r="B143" s="8" t="inlineStr">
        <is>
          <t>DAVID JONES DONCASTER - DONCASTER</t>
        </is>
      </c>
      <c r="C143" s="9" t="n">
        <v>137.16</v>
      </c>
      <c r="D143" s="10" t="inlineStr"/>
      <c r="E143" s="8" t="inlineStr">
        <is>
          <t>VICKI ZERTOPOULOS</t>
        </is>
      </c>
      <c r="F143" s="8" t="inlineStr">
        <is>
          <t>2020-11-22</t>
        </is>
      </c>
      <c r="G143" s="8" t="inlineStr">
        <is>
          <t>320803591749 Marcs 99.95; 320803591749 MARKDOWN 49.99CR; 320803591749 Marcs 109.00; 320803591749 MARKDOWN 21.80CR</t>
        </is>
      </c>
    </row>
    <row r="144">
      <c r="A144" s="7" t="n">
        <v>44148</v>
      </c>
      <c r="B144" s="8" t="inlineStr">
        <is>
          <t>DAVID JONES DONCASTER - DONCASTER</t>
        </is>
      </c>
      <c r="C144" s="9" t="n">
        <v>125.47</v>
      </c>
      <c r="D144" s="10" t="inlineStr"/>
      <c r="E144" s="8" t="inlineStr">
        <is>
          <t>VICKI ZERTOPOULOS</t>
        </is>
      </c>
      <c r="F144" s="8" t="inlineStr">
        <is>
          <t>2020-11-22</t>
        </is>
      </c>
      <c r="G144" s="8" t="inlineStr">
        <is>
          <t>320803327790 Veronika Maine 167.30; 320803327790 MARKDOWN 41.83CR</t>
        </is>
      </c>
    </row>
    <row r="145">
      <c r="A145" s="7" t="n">
        <v>44148</v>
      </c>
      <c r="B145" s="8" t="inlineStr">
        <is>
          <t>DAVID JONES DONCASTER - DONCASTER</t>
        </is>
      </c>
      <c r="C145" s="9" t="n">
        <v>98.84</v>
      </c>
      <c r="D145" s="10" t="inlineStr"/>
      <c r="E145" s="8" t="inlineStr">
        <is>
          <t>VICKI ZERTOPOULOS</t>
        </is>
      </c>
      <c r="F145" s="8" t="inlineStr">
        <is>
          <t>2020-11-22</t>
        </is>
      </c>
      <c r="G145" s="8" t="inlineStr">
        <is>
          <t>320803143506 Country Road Ho 9.95; 320803143506 MARKDOWN 1.99CR; 320803143506 Country Road Ho 9.95; 320803143506 MARKDOWN 1.99CR; 320803143506 Country Road Ho 7.95; 320803143506 MARKDOWN 1.59CR; 320803143506 Country Road Ho 7.95; 320803143506 MARKDOWN 1.59CR; 320803143506 Country Road Ho 7.95; 320803143506 MARKDOWN 1.59CR; 320803143506 Country Road Ho 19.95; 320803143506 MARKDOWN 3.99CR; 320803143506 Country Road Ho 19.95; 320803143506 MARKDOWN 3.99CR; 320803143506 Country Road Ho 19.95; 320803143506 MARKDOWN 3.99CR; 320803143506 Country Road Ho 19.95; 320803143506 MARKDOWN 3.99CR</t>
        </is>
      </c>
    </row>
    <row r="146">
      <c r="A146" s="7" t="n">
        <v>44186</v>
      </c>
      <c r="B146" s="8" t="inlineStr">
        <is>
          <t>DAVID JONES DONCASTER - DONCASTER</t>
        </is>
      </c>
      <c r="C146" s="9" t="n">
        <v>59.76</v>
      </c>
      <c r="D146" s="10" t="inlineStr"/>
      <c r="E146" s="8" t="inlineStr">
        <is>
          <t>VICKI ZERTOPOULOS</t>
        </is>
      </c>
      <c r="F146" s="8" t="inlineStr">
        <is>
          <t>2020-12-22</t>
        </is>
      </c>
      <c r="G146" s="8" t="inlineStr">
        <is>
          <t>320803321500 Veronika Maine 74.70; 320803321500 DISCOUNT 14.94CR</t>
        </is>
      </c>
    </row>
    <row r="147">
      <c r="A147" s="7" t="n">
        <v>44186</v>
      </c>
      <c r="B147" s="8" t="inlineStr">
        <is>
          <t>DAVID JONES DONCASTER - DONCASTER</t>
        </is>
      </c>
      <c r="C147" s="9" t="n">
        <v>594.96</v>
      </c>
      <c r="D147" s="10" t="inlineStr"/>
      <c r="E147" s="8" t="inlineStr">
        <is>
          <t>VICKI ZERTOPOULOS</t>
        </is>
      </c>
      <c r="F147" s="8" t="inlineStr">
        <is>
          <t>2020-12-22</t>
        </is>
      </c>
      <c r="G147" s="8" t="inlineStr">
        <is>
          <t>3 Months Pay Later 320803157727 Sheridan Shop 79.99; 320803157727 MARKDOWN 24.00CR; 320803157727 Sheridan Shop 79.99; 320803157727 MARKDOWN 24.00CR; 320803157727 Sheridan Shop 139.99; 320803157727 MARKDOWN 42.00CR; 320803157727 Sheridan Shop 549.99; 320803157727 MARKDOWN 165.00CR</t>
        </is>
      </c>
    </row>
    <row r="148">
      <c r="A148" s="7" t="n">
        <v>44188</v>
      </c>
      <c r="B148" s="8" t="inlineStr">
        <is>
          <t>DAVID JONES DONCASTER - DONCASTER</t>
        </is>
      </c>
      <c r="C148" s="9" t="n">
        <v>83.98999999999999</v>
      </c>
      <c r="D148" s="10" t="inlineStr"/>
      <c r="E148" s="8" t="inlineStr">
        <is>
          <t>VICKI ZERTOPOULOS</t>
        </is>
      </c>
      <c r="F148" s="8" t="inlineStr">
        <is>
          <t>2021-01-22</t>
        </is>
      </c>
      <c r="G148" s="8" t="inlineStr">
        <is>
          <t>3 Months Pay Later 320803158042 Sheridan Shop 549.99CR; 320803158042 MARKDOWN REVERSAL 165.00; 320803158042 Sheridan Shop 119.99; 320803158042 MARKDOWN 36.00CR; 320803158042 Sheridan Shop 549.99; 320803158042 MARKDOWN 165.00CR</t>
        </is>
      </c>
    </row>
    <row r="149">
      <c r="A149" s="7" t="n">
        <v>44196</v>
      </c>
      <c r="B149" s="8" t="inlineStr">
        <is>
          <t>DAVID JONES DONCASTER - DONCASTER</t>
        </is>
      </c>
      <c r="C149" s="9" t="n">
        <v>69.88</v>
      </c>
      <c r="D149" s="10" t="inlineStr"/>
      <c r="E149" s="8" t="inlineStr">
        <is>
          <t>VICKI ZERTOPOULOS</t>
        </is>
      </c>
      <c r="F149" s="8" t="inlineStr">
        <is>
          <t>2021-01-22</t>
        </is>
      </c>
      <c r="G149" s="8" t="inlineStr">
        <is>
          <t>3 Months Pay Later 320803139044 Dinnerware 41.91; 320803139044 Dinnerware 27.97</t>
        </is>
      </c>
    </row>
    <row r="150">
      <c r="A150" s="7" t="n">
        <v>44196</v>
      </c>
      <c r="B150" s="8" t="inlineStr">
        <is>
          <t>DAVID JONES DONCASTER - DONCASTER</t>
        </is>
      </c>
      <c r="C150" s="9" t="n">
        <v>76.94</v>
      </c>
      <c r="D150" s="10" t="inlineStr"/>
      <c r="E150" s="8" t="inlineStr">
        <is>
          <t>VICKI ZERTOPOULOS</t>
        </is>
      </c>
      <c r="F150" s="8" t="inlineStr">
        <is>
          <t>2021-01-22</t>
        </is>
      </c>
      <c r="G150" s="8" t="inlineStr">
        <is>
          <t>3 Months Pay Later 320803113034 Kitchen &amp; Cookw 38.47CR; 320803113034 Kitchen &amp; Cookw 115.41</t>
        </is>
      </c>
    </row>
    <row r="151">
      <c r="A151" s="7" t="n">
        <v>44210</v>
      </c>
      <c r="B151" s="8" t="inlineStr">
        <is>
          <t>DAVID JONES DONCASTER - DONCASTER</t>
        </is>
      </c>
      <c r="C151" s="9" t="n">
        <v>110.4</v>
      </c>
      <c r="D151" s="10" t="inlineStr"/>
      <c r="E151" s="8" t="inlineStr">
        <is>
          <t>VICKI ZERTOPOULOS</t>
        </is>
      </c>
      <c r="F151" s="8" t="inlineStr">
        <is>
          <t>2021-01-22</t>
        </is>
      </c>
      <c r="G151" s="8" t="inlineStr">
        <is>
          <t>320803329769 JAG Womens 59.00; 320803329769 MARKDOWN 11.80CR; 320803329769 JAG Womens 79.00; 320803329769 MARKDOWN 15.80CR</t>
        </is>
      </c>
    </row>
    <row r="152">
      <c r="A152" s="7" t="n">
        <v>44216</v>
      </c>
      <c r="B152" s="8" t="inlineStr">
        <is>
          <t>DAVID JONES DONCASTER - DONCASTER</t>
        </is>
      </c>
      <c r="C152" s="9" t="n">
        <v>39.96</v>
      </c>
      <c r="D152" s="10" t="inlineStr"/>
      <c r="E152" s="8" t="inlineStr">
        <is>
          <t>VICKI ZERTOPOULOS</t>
        </is>
      </c>
      <c r="F152" s="8" t="inlineStr">
        <is>
          <t>2021-01-22</t>
        </is>
      </c>
      <c r="G152" s="8" t="inlineStr">
        <is>
          <t>320803331389 Seed 49.95; 320803331389 MARKDOWN 9.99CR</t>
        </is>
      </c>
    </row>
    <row r="153">
      <c r="A153" s="7" t="n">
        <v>44226</v>
      </c>
      <c r="B153" s="8" t="inlineStr">
        <is>
          <t>DAVID JONES DONCASTER - DONCASTER</t>
        </is>
      </c>
      <c r="C153" s="9" t="n">
        <v>52</v>
      </c>
      <c r="D153" s="10" t="inlineStr"/>
      <c r="E153" s="8" t="inlineStr">
        <is>
          <t>VICKI ZERTOPOULOS</t>
        </is>
      </c>
      <c r="F153" s="8" t="inlineStr">
        <is>
          <t>2021-02-22</t>
        </is>
      </c>
      <c r="G153" s="8" t="inlineStr">
        <is>
          <t>320803394283 Chanel 52.00</t>
        </is>
      </c>
    </row>
    <row r="154">
      <c r="A154" s="7" t="n">
        <v>44226</v>
      </c>
      <c r="B154" s="8" t="inlineStr">
        <is>
          <t>DAVID JONES DONCASTER - DONCASTER</t>
        </is>
      </c>
      <c r="C154" s="9" t="n">
        <v>64.91</v>
      </c>
      <c r="D154" s="10" t="inlineStr"/>
      <c r="E154" s="8" t="inlineStr">
        <is>
          <t>VICKI ZERTOPOULOS</t>
        </is>
      </c>
      <c r="F154" s="8" t="inlineStr">
        <is>
          <t>2021-02-22</t>
        </is>
      </c>
      <c r="G154" s="8" t="inlineStr">
        <is>
          <t>320803343050 Witchery 59.95; 320803343050 Witchery 99.95; 320803343050 MARKDOWN 94.99CR</t>
        </is>
      </c>
    </row>
    <row r="155">
      <c r="A155" s="7" t="n">
        <v>44238</v>
      </c>
      <c r="B155" s="8" t="inlineStr">
        <is>
          <t>DAVID JONES DONCASTER - DONCASTER</t>
        </is>
      </c>
      <c r="C155" s="9" t="n">
        <v>550</v>
      </c>
      <c r="D155" s="10" t="inlineStr"/>
      <c r="E155" s="8" t="inlineStr">
        <is>
          <t>VICKI ZERTOPOULOS</t>
        </is>
      </c>
      <c r="F155" s="8" t="inlineStr">
        <is>
          <t>2021-02-22</t>
        </is>
      </c>
      <c r="G155" s="8" t="inlineStr">
        <is>
          <t>3 Months Pay Later 320803326210 Zimmermann 550.00</t>
        </is>
      </c>
    </row>
    <row r="156">
      <c r="A156" s="7" t="n">
        <v>44253</v>
      </c>
      <c r="B156" s="8" t="inlineStr">
        <is>
          <t>DAVID JONES DONCASTER - DONCASTER</t>
        </is>
      </c>
      <c r="C156" s="9" t="n">
        <v>129</v>
      </c>
      <c r="D156" s="10" t="inlineStr"/>
      <c r="E156" s="8" t="inlineStr">
        <is>
          <t>VICKI ZERTOPOULOS</t>
        </is>
      </c>
      <c r="F156" s="8" t="inlineStr">
        <is>
          <t>2021-03-22</t>
        </is>
      </c>
      <c r="G156" s="8" t="inlineStr">
        <is>
          <t>320803317982 Country Road Me 129.00</t>
        </is>
      </c>
    </row>
    <row r="157">
      <c r="A157" s="7" t="n">
        <v>44258</v>
      </c>
      <c r="B157" s="8" t="inlineStr">
        <is>
          <t>DAVID JONES DONCASTER - DONCASTER</t>
        </is>
      </c>
      <c r="C157" s="9" t="n">
        <v>58</v>
      </c>
      <c r="D157" s="10" t="inlineStr"/>
      <c r="E157" s="8" t="inlineStr">
        <is>
          <t>VICKI ZERTOPOULOS</t>
        </is>
      </c>
      <c r="F157" s="8" t="inlineStr">
        <is>
          <t>2021-03-22</t>
        </is>
      </c>
      <c r="G157" s="8" t="inlineStr">
        <is>
          <t>320803398346 Chanel 58.00</t>
        </is>
      </c>
    </row>
    <row r="158">
      <c r="A158" s="7" t="n">
        <v>44258</v>
      </c>
      <c r="B158" s="8" t="inlineStr">
        <is>
          <t>DAVID JONES DONCASTER - DONCASTER</t>
        </is>
      </c>
      <c r="C158" s="9" t="n">
        <v>59</v>
      </c>
      <c r="D158" s="10" t="inlineStr"/>
      <c r="E158" s="8" t="inlineStr">
        <is>
          <t>VICKI ZERTOPOULOS</t>
        </is>
      </c>
      <c r="F158" s="8" t="inlineStr">
        <is>
          <t>2021-03-22</t>
        </is>
      </c>
      <c r="G158" s="8" t="inlineStr">
        <is>
          <t>320803398337 Chanel 79.00; 320803398337 PAYMENT BY OTHER MEANS 20.00CR</t>
        </is>
      </c>
    </row>
    <row r="159">
      <c r="A159" s="7" t="n">
        <v>44322</v>
      </c>
      <c r="B159" s="8" t="inlineStr">
        <is>
          <t>DAVID JONES DONCASTER - DONCASTER</t>
        </is>
      </c>
      <c r="C159" s="9" t="n">
        <v>95</v>
      </c>
      <c r="D159" s="10" t="inlineStr"/>
      <c r="E159" s="8" t="inlineStr">
        <is>
          <t>VICKI ZERTOPOULOS</t>
        </is>
      </c>
      <c r="F159" s="8" t="inlineStr">
        <is>
          <t>2021-05-22</t>
        </is>
      </c>
      <c r="G159" s="8" t="inlineStr">
        <is>
          <t>3 Months Pay Later 320803333758 Bianca Spender 1,095.00; 320803333758 PAYMENT BY OTHER MEANS 1,000.00CR</t>
        </is>
      </c>
    </row>
    <row r="160">
      <c r="A160" s="7" t="n">
        <v>44327</v>
      </c>
      <c r="B160" s="8" t="inlineStr">
        <is>
          <t>DAVID JONES DONCASTER - DONCASTER</t>
        </is>
      </c>
      <c r="C160" s="9" t="n">
        <v>178</v>
      </c>
      <c r="D160" s="10" t="inlineStr"/>
      <c r="E160" s="8" t="inlineStr">
        <is>
          <t>VICKI ZERTOPOULOS</t>
        </is>
      </c>
      <c r="F160" s="8" t="inlineStr">
        <is>
          <t>2021-05-22</t>
        </is>
      </c>
      <c r="G160" s="8" t="inlineStr">
        <is>
          <t>3 Months Pay Later 320803512118 Womens Fashion 49.00; 320803512118 Womens Fashion 129.00</t>
        </is>
      </c>
    </row>
    <row r="161">
      <c r="A161" s="7" t="n">
        <v>44366</v>
      </c>
      <c r="B161" s="8" t="inlineStr">
        <is>
          <t>DAVID JONES DONCASTER - DONCASTER</t>
        </is>
      </c>
      <c r="C161" s="9" t="n">
        <v>48</v>
      </c>
      <c r="D161" s="10" t="inlineStr"/>
      <c r="E161" s="8" t="inlineStr">
        <is>
          <t>VICKI ZERTOPOULOS</t>
        </is>
      </c>
      <c r="F161" s="8" t="inlineStr">
        <is>
          <t>2021-06-22</t>
        </is>
      </c>
      <c r="G161" s="8" t="inlineStr">
        <is>
          <t>320803391966 Chanel 48.00</t>
        </is>
      </c>
    </row>
    <row r="162">
      <c r="A162" s="7" t="n">
        <v>44366</v>
      </c>
      <c r="B162" s="8" t="inlineStr">
        <is>
          <t>DAVID JONES DONCASTER - DONCASTER</t>
        </is>
      </c>
      <c r="C162" s="9" t="n">
        <v>140</v>
      </c>
      <c r="D162" s="10" t="inlineStr"/>
      <c r="E162" s="8" t="inlineStr">
        <is>
          <t>VICKI ZERTOPOULOS</t>
        </is>
      </c>
      <c r="F162" s="8" t="inlineStr">
        <is>
          <t>2021-06-22</t>
        </is>
      </c>
      <c r="G162" s="8" t="inlineStr">
        <is>
          <t>320803331599 Viktoria &amp; Wood 140.00</t>
        </is>
      </c>
    </row>
    <row r="163">
      <c r="A163" s="7" t="n">
        <v>44366</v>
      </c>
      <c r="B163" s="8" t="inlineStr">
        <is>
          <t>DAVID JONES DONCASTER - DONCASTER</t>
        </is>
      </c>
      <c r="C163" s="9" t="n">
        <v>120</v>
      </c>
      <c r="D163" s="10" t="inlineStr"/>
      <c r="E163" s="8" t="inlineStr">
        <is>
          <t>VICKI ZERTOPOULOS</t>
        </is>
      </c>
      <c r="F163" s="8" t="inlineStr">
        <is>
          <t>2021-06-22</t>
        </is>
      </c>
      <c r="G163" s="8" t="inlineStr">
        <is>
          <t>320803331584 Viktoria &amp; Wood 120.00</t>
        </is>
      </c>
    </row>
    <row r="164">
      <c r="A164" s="7" t="n">
        <v>44366</v>
      </c>
      <c r="B164" s="8" t="inlineStr">
        <is>
          <t>DAVID JONES DONCASTER - DONCASTER</t>
        </is>
      </c>
      <c r="C164" s="9" t="n">
        <v>140</v>
      </c>
      <c r="D164" s="10" t="inlineStr"/>
      <c r="E164" s="8" t="inlineStr">
        <is>
          <t>VICKI ZERTOPOULOS</t>
        </is>
      </c>
      <c r="F164" s="8" t="inlineStr">
        <is>
          <t>2021-06-22</t>
        </is>
      </c>
      <c r="G164" s="8" t="inlineStr">
        <is>
          <t>3 Months Pay Later 320803331604 Viktoria &amp; Wood 140.00</t>
        </is>
      </c>
    </row>
    <row r="165">
      <c r="A165" s="7" t="n">
        <v>44366</v>
      </c>
      <c r="B165" s="8" t="inlineStr">
        <is>
          <t>DAVID JONES DONCASTER - DONCASTER</t>
        </is>
      </c>
      <c r="C165" s="9" t="n">
        <v>127.2</v>
      </c>
      <c r="D165" s="10" t="inlineStr"/>
      <c r="E165" s="8" t="inlineStr">
        <is>
          <t>VICKI ZERTOPOULOS</t>
        </is>
      </c>
      <c r="F165" s="8" t="inlineStr">
        <is>
          <t>2021-06-22</t>
        </is>
      </c>
      <c r="G165" s="8" t="inlineStr">
        <is>
          <t>3 Months Pay Later 320803331607 Aust Designer 127.20</t>
        </is>
      </c>
    </row>
    <row r="166">
      <c r="A166" s="7" t="n">
        <v>44377</v>
      </c>
      <c r="B166" s="8" t="inlineStr">
        <is>
          <t>DAVID JONES DONCASTER - DONCASTER</t>
        </is>
      </c>
      <c r="C166" s="9" t="n">
        <v>133.76</v>
      </c>
      <c r="D166" s="10" t="inlineStr"/>
      <c r="E166" s="8" t="inlineStr">
        <is>
          <t>VICKI ZERTOPOULOS</t>
        </is>
      </c>
      <c r="F166" s="8" t="inlineStr">
        <is>
          <t>2021-07-22</t>
        </is>
      </c>
      <c r="G166" s="8" t="inlineStr">
        <is>
          <t>3 Months Pay Later 320803320829 Veronika Maine 111.30CR; 320803320829 MARKDOWN REVERSAL 22.26; 320803320829 Viktoria &amp; Wood 350.00; 320803320829 Aust Designer 127.20CR</t>
        </is>
      </c>
    </row>
    <row r="167">
      <c r="A167" s="7" t="n">
        <v>44188</v>
      </c>
      <c r="B167" s="8" t="inlineStr">
        <is>
          <t>DAVID JONES EASTLAND SH RINGWOOD</t>
        </is>
      </c>
      <c r="C167" s="9" t="n">
        <v>84</v>
      </c>
      <c r="D167" s="10" t="inlineStr"/>
      <c r="E167" s="8" t="inlineStr">
        <is>
          <t>VICKI ZERTOPOULOS</t>
        </is>
      </c>
      <c r="F167" s="8" t="inlineStr">
        <is>
          <t>2021-01-22</t>
        </is>
      </c>
      <c r="G167" s="8" t="inlineStr">
        <is>
          <t>321200115442 Girls Contempor 35.00; 321200115442 Girls Contempor 49.00; offers, or wish to change the address, name or phone number conversion commission of 3.00%. Any Charges converted by third parties prior to being</t>
        </is>
      </c>
    </row>
    <row r="168">
      <c r="A168" s="7" t="n">
        <v>44188</v>
      </c>
      <c r="B168" s="8" t="inlineStr">
        <is>
          <t>DAVID JONES EASTLAND SH RINGWOOD</t>
        </is>
      </c>
      <c r="C168" s="9" t="n">
        <v>39.9</v>
      </c>
      <c r="D168" s="10" t="inlineStr"/>
      <c r="E168" s="8" t="inlineStr">
        <is>
          <t>VICKI ZERTOPOULOS</t>
        </is>
      </c>
      <c r="F168" s="8" t="inlineStr">
        <is>
          <t>2021-01-22</t>
        </is>
      </c>
      <c r="G168" s="8" t="inlineStr">
        <is>
          <t>321200115439 Glassware 19.95; 321200115439 Glassware 19.95</t>
        </is>
      </c>
    </row>
    <row r="169">
      <c r="A169" s="7" t="n">
        <v>44188</v>
      </c>
      <c r="B169" s="8" t="inlineStr">
        <is>
          <t>DAVID JONES EASTLAND SH RINGWOOD</t>
        </is>
      </c>
      <c r="C169" s="9" t="n">
        <v>559.9400000000001</v>
      </c>
      <c r="D169" s="10" t="inlineStr"/>
      <c r="E169" s="8" t="inlineStr">
        <is>
          <t>VICKI ZERTOPOULOS</t>
        </is>
      </c>
      <c r="F169" s="8" t="inlineStr">
        <is>
          <t>2021-01-22</t>
        </is>
      </c>
      <c r="G169" s="8" t="inlineStr">
        <is>
          <t>321200115445 Sheridan Shop 299.99; 321200115445 MARKDOWN 90.00CR; 321200115445 Sheridan Shop 299.99; 321200115445 MARKDOWN 90.00CR; 321200115445 Sheridan Shop 199.95; 321200115445 MARKDOWN 59.99CR</t>
        </is>
      </c>
    </row>
    <row r="170">
      <c r="A170" s="7" t="n">
        <v>44217</v>
      </c>
      <c r="B170" s="8" t="inlineStr">
        <is>
          <t>DAVID JONES EASTLAND SH RINGWOOD</t>
        </is>
      </c>
      <c r="C170" s="9" t="n">
        <v>19.95</v>
      </c>
      <c r="D170" s="10" t="inlineStr"/>
      <c r="E170" s="8" t="inlineStr">
        <is>
          <t>VICKI ZERTOPOULOS</t>
        </is>
      </c>
      <c r="F170" s="8" t="inlineStr">
        <is>
          <t>2021-01-22</t>
        </is>
      </c>
      <c r="G170" s="8" t="inlineStr">
        <is>
          <t>321200096368 Country Road Wo 19.95</t>
        </is>
      </c>
    </row>
    <row r="171">
      <c r="A171" s="7" t="n">
        <v>44027</v>
      </c>
      <c r="B171" s="8" t="inlineStr">
        <is>
          <t>DAVID JONES MALVERN CEN MALVERN</t>
        </is>
      </c>
      <c r="C171" s="9" t="n">
        <v>7.95</v>
      </c>
      <c r="D171" s="10" t="inlineStr"/>
      <c r="E171" s="8" t="inlineStr">
        <is>
          <t>VICKI ZERTOPOULOS</t>
        </is>
      </c>
      <c r="F171" s="8" t="inlineStr">
        <is>
          <t>2020-07-22</t>
        </is>
      </c>
      <c r="G171" s="8" t="inlineStr">
        <is>
          <t>321000148078 Small Appliance 7.95</t>
        </is>
      </c>
    </row>
    <row r="172">
      <c r="A172" s="7" t="n">
        <v>44055</v>
      </c>
      <c r="B172" s="8" t="inlineStr">
        <is>
          <t>DAVID JONES ONLINE - GP ARTARMON</t>
        </is>
      </c>
      <c r="C172" s="9" t="n">
        <v>150</v>
      </c>
      <c r="D172" s="10" t="inlineStr"/>
      <c r="E172" s="8" t="inlineStr">
        <is>
          <t>VICKI ZERTOPOULOS</t>
        </is>
      </c>
      <c r="F172" s="8" t="inlineStr">
        <is>
          <t>2020-08-22</t>
        </is>
      </c>
      <c r="G172" s="8" t="n"/>
    </row>
    <row r="173">
      <c r="A173" s="7" t="n">
        <v>44071</v>
      </c>
      <c r="B173" s="8" t="inlineStr">
        <is>
          <t>DAVID JONES ONLINE - GP ARTARMON</t>
        </is>
      </c>
      <c r="C173" s="9" t="n">
        <v>399.8</v>
      </c>
      <c r="D173" s="10" t="inlineStr"/>
      <c r="E173" s="8" t="inlineStr">
        <is>
          <t>VICKI ZERTOPOULOS</t>
        </is>
      </c>
      <c r="F173" s="8" t="inlineStr">
        <is>
          <t>2020-09-22</t>
        </is>
      </c>
      <c r="G173" s="8" t="n"/>
    </row>
    <row r="174">
      <c r="A174" s="7" t="n">
        <v>44110</v>
      </c>
      <c r="B174" s="8" t="inlineStr">
        <is>
          <t>DAVID JONES ONLINE - GP ARTARMON</t>
        </is>
      </c>
      <c r="C174" s="9" t="n">
        <v>253.88</v>
      </c>
      <c r="D174" s="10" t="inlineStr"/>
      <c r="E174" s="8" t="inlineStr">
        <is>
          <t>VICKI ZERTOPOULOS</t>
        </is>
      </c>
      <c r="F174" s="8" t="inlineStr">
        <is>
          <t>2020-10-22</t>
        </is>
      </c>
      <c r="G174" s="8" t="n"/>
    </row>
    <row r="175">
      <c r="A175" s="7" t="n">
        <v>44110</v>
      </c>
      <c r="B175" s="8" t="inlineStr">
        <is>
          <t>DAVID JONES ONLINE - GP ARTARMON</t>
        </is>
      </c>
      <c r="C175" s="9" t="n">
        <v>59.69</v>
      </c>
      <c r="D175" s="10" t="inlineStr"/>
      <c r="E175" s="8" t="inlineStr">
        <is>
          <t>VICKI ZERTOPOULOS</t>
        </is>
      </c>
      <c r="F175" s="8" t="inlineStr">
        <is>
          <t>2020-10-22</t>
        </is>
      </c>
      <c r="G175" s="8" t="n"/>
    </row>
    <row r="176">
      <c r="A176" s="7" t="n">
        <v>44161</v>
      </c>
      <c r="B176" s="8" t="inlineStr">
        <is>
          <t>DAVID JONES ONLINE - GP ARTARMON</t>
        </is>
      </c>
      <c r="C176" s="9" t="n">
        <v>637.72</v>
      </c>
      <c r="D176" s="10" t="inlineStr"/>
      <c r="E176" s="8" t="inlineStr">
        <is>
          <t>VICKI ZERTOPOULOS</t>
        </is>
      </c>
      <c r="F176" s="8" t="inlineStr">
        <is>
          <t>2020-12-22</t>
        </is>
      </c>
      <c r="G176" s="8" t="n"/>
    </row>
    <row r="177">
      <c r="A177" s="7" t="n">
        <v>44336</v>
      </c>
      <c r="B177" s="8" t="inlineStr">
        <is>
          <t>DAVID JONES ONLINE - GP ARTARMON</t>
        </is>
      </c>
      <c r="C177" s="9" t="n">
        <v>152.65</v>
      </c>
      <c r="D177" s="10" t="inlineStr"/>
      <c r="E177" s="8" t="inlineStr">
        <is>
          <t>VICKI ZERTOPOULOS</t>
        </is>
      </c>
      <c r="F177" s="8" t="inlineStr">
        <is>
          <t>2021-05-22</t>
        </is>
      </c>
      <c r="G177" s="8" t="n"/>
    </row>
    <row r="178">
      <c r="A178" s="7" t="n">
        <v>44336</v>
      </c>
      <c r="B178" s="8" t="inlineStr">
        <is>
          <t>DAVID JONES ONLINE - GP ARTARMON</t>
        </is>
      </c>
      <c r="C178" s="9" t="n">
        <v>117.35</v>
      </c>
      <c r="D178" s="10" t="inlineStr"/>
      <c r="E178" s="8" t="inlineStr">
        <is>
          <t>VICKI ZERTOPOULOS</t>
        </is>
      </c>
      <c r="F178" s="8" t="inlineStr">
        <is>
          <t>2021-05-22</t>
        </is>
      </c>
      <c r="G178" s="8" t="n"/>
    </row>
    <row r="179">
      <c r="A179" s="7" t="n">
        <v>44034</v>
      </c>
      <c r="B179" s="8" t="inlineStr">
        <is>
          <t>GRILL'D HAWTHORN HAWTHORN</t>
        </is>
      </c>
      <c r="C179" s="9" t="n">
        <v>23.8</v>
      </c>
      <c r="D179" s="10" t="inlineStr"/>
      <c r="E179" s="8" t="inlineStr">
        <is>
          <t>VICKI ZERTOPOULOS</t>
        </is>
      </c>
      <c r="F179" s="8" t="inlineStr">
        <is>
          <t>2020-08-22</t>
        </is>
      </c>
      <c r="G179" s="8" t="n"/>
    </row>
    <row r="180">
      <c r="A180" s="7" t="n">
        <v>44037</v>
      </c>
      <c r="B180" s="8" t="inlineStr">
        <is>
          <t>GRILL'D HAWTHORN HAWTHORN</t>
        </is>
      </c>
      <c r="C180" s="9" t="n">
        <v>32.8</v>
      </c>
      <c r="D180" s="10" t="inlineStr"/>
      <c r="E180" s="8" t="inlineStr">
        <is>
          <t>VICKI ZERTOPOULOS</t>
        </is>
      </c>
      <c r="F180" s="8" t="inlineStr">
        <is>
          <t>2020-08-22</t>
        </is>
      </c>
      <c r="G180" s="8" t="n"/>
    </row>
    <row r="181">
      <c r="A181" s="7" t="n">
        <v>44046</v>
      </c>
      <c r="B181" s="8" t="inlineStr">
        <is>
          <t>GRILL'D HAWTHORN HAWTHORN</t>
        </is>
      </c>
      <c r="C181" s="9" t="n">
        <v>38.5</v>
      </c>
      <c r="D181" s="10" t="inlineStr"/>
      <c r="E181" s="8" t="inlineStr">
        <is>
          <t>VICKI ZERTOPOULOS</t>
        </is>
      </c>
      <c r="F181" s="8" t="inlineStr">
        <is>
          <t>2020-08-22</t>
        </is>
      </c>
      <c r="G181" s="8" t="n"/>
    </row>
    <row r="182">
      <c r="A182" s="7" t="n">
        <v>44313</v>
      </c>
      <c r="B182" s="8" t="inlineStr">
        <is>
          <t>HX *DONNA CAMERON MELBOURNE</t>
        </is>
      </c>
      <c r="C182" s="9" t="n">
        <v>184.51</v>
      </c>
      <c r="D182" s="10" t="inlineStr"/>
      <c r="E182" s="8" t="inlineStr">
        <is>
          <t>VICKI ZERTOPOULOS</t>
        </is>
      </c>
      <c r="F182" s="8" t="inlineStr">
        <is>
          <t>2021-05-22</t>
        </is>
      </c>
      <c r="G182" s="8" t="n"/>
    </row>
    <row r="183">
      <c r="A183" s="7" t="n">
        <v>44037</v>
      </c>
      <c r="B183" s="8" t="inlineStr">
        <is>
          <t>LEAF HAWTHORN HAWTHORN</t>
        </is>
      </c>
      <c r="C183" s="9" t="n">
        <v>94.01000000000001</v>
      </c>
      <c r="D183" s="10" t="inlineStr"/>
      <c r="E183" s="8" t="inlineStr">
        <is>
          <t>VICKI ZERTOPOULOS</t>
        </is>
      </c>
      <c r="F183" s="8" t="inlineStr">
        <is>
          <t>2020-08-22</t>
        </is>
      </c>
      <c r="G183" s="8" t="n"/>
    </row>
    <row r="184">
      <c r="A184" s="7" t="n">
        <v>44123</v>
      </c>
      <c r="B184" s="8" t="inlineStr">
        <is>
          <t>LEAF HAWTHORN HAWTHORN</t>
        </is>
      </c>
      <c r="C184" s="9" t="n">
        <v>40.07</v>
      </c>
      <c r="D184" s="10" t="inlineStr"/>
      <c r="E184" s="8" t="inlineStr">
        <is>
          <t>VICKI ZERTOPOULOS</t>
        </is>
      </c>
      <c r="F184" s="8" t="inlineStr">
        <is>
          <t>2020-10-22</t>
        </is>
      </c>
      <c r="G184" s="8" t="n"/>
    </row>
    <row r="185">
      <c r="A185" s="7" t="n">
        <v>44208</v>
      </c>
      <c r="B185" s="8" t="inlineStr">
        <is>
          <t>LEAF HAWTHORN HAWTHORN</t>
        </is>
      </c>
      <c r="C185" s="9" t="n">
        <v>36.97</v>
      </c>
      <c r="D185" s="10" t="inlineStr"/>
      <c r="E185" s="8" t="inlineStr">
        <is>
          <t>VICKI ZERTOPOULOS</t>
        </is>
      </c>
      <c r="F185" s="8" t="inlineStr">
        <is>
          <t>2021-01-22</t>
        </is>
      </c>
      <c r="G185" s="8" t="n"/>
    </row>
    <row r="186">
      <c r="A186" s="7" t="n">
        <v>44274</v>
      </c>
      <c r="B186" s="8" t="inlineStr">
        <is>
          <t>LEAF HAWTHORN HAWTHORN</t>
        </is>
      </c>
      <c r="C186" s="9" t="n">
        <v>53.92</v>
      </c>
      <c r="D186" s="10" t="inlineStr"/>
      <c r="E186" s="8" t="inlineStr">
        <is>
          <t>VICKI ZERTOPOULOS</t>
        </is>
      </c>
      <c r="F186" s="8" t="inlineStr">
        <is>
          <t>2021-03-22</t>
        </is>
      </c>
      <c r="G186" s="8" t="n"/>
    </row>
    <row r="187">
      <c r="A187" s="7" t="n">
        <v>44274</v>
      </c>
      <c r="B187" s="8" t="inlineStr">
        <is>
          <t>LEAF HAWTHORN HAWTHORN</t>
        </is>
      </c>
      <c r="C187" s="9" t="n">
        <v>9.949999999999999</v>
      </c>
      <c r="D187" s="10" t="inlineStr"/>
      <c r="E187" s="8" t="inlineStr">
        <is>
          <t>VICKI ZERTOPOULOS</t>
        </is>
      </c>
      <c r="F187" s="8" t="inlineStr">
        <is>
          <t>2021-03-22</t>
        </is>
      </c>
      <c r="G187" s="8" t="n"/>
    </row>
    <row r="188">
      <c r="A188" s="7" t="n">
        <v>44312</v>
      </c>
      <c r="B188" s="8" t="inlineStr">
        <is>
          <t>LEAF HAWTHORN HAWTHORN</t>
        </is>
      </c>
      <c r="C188" s="9" t="n">
        <v>9.949999999999999</v>
      </c>
      <c r="D188" s="10" t="inlineStr"/>
      <c r="E188" s="8" t="inlineStr">
        <is>
          <t>VICKI ZERTOPOULOS</t>
        </is>
      </c>
      <c r="F188" s="8" t="inlineStr">
        <is>
          <t>2021-05-22</t>
        </is>
      </c>
      <c r="G188" s="8" t="n"/>
    </row>
    <row r="189">
      <c r="A189" s="7" t="n">
        <v>44321</v>
      </c>
      <c r="B189" s="8" t="inlineStr">
        <is>
          <t>LEAF HAWTHORN HAWTHORN</t>
        </is>
      </c>
      <c r="C189" s="9" t="n">
        <v>109.48</v>
      </c>
      <c r="D189" s="10" t="inlineStr"/>
      <c r="E189" s="8" t="inlineStr">
        <is>
          <t>VICKI ZERTOPOULOS</t>
        </is>
      </c>
      <c r="F189" s="8" t="inlineStr">
        <is>
          <t>2021-05-22</t>
        </is>
      </c>
      <c r="G189" s="8" t="n"/>
    </row>
    <row r="190">
      <c r="A190" s="7" t="n">
        <v>44340</v>
      </c>
      <c r="B190" s="8" t="inlineStr">
        <is>
          <t>MAGSHOP MAGSHOP SYDNEY</t>
        </is>
      </c>
      <c r="C190" s="9" t="n">
        <v>64.98999999999999</v>
      </c>
      <c r="D190" s="10" t="inlineStr"/>
      <c r="E190" s="8" t="inlineStr">
        <is>
          <t>VICKI ZERTOPOULOS</t>
        </is>
      </c>
      <c r="F190" s="8" t="inlineStr">
        <is>
          <t>2021-06-22</t>
        </is>
      </c>
      <c r="G190" s="8" t="n"/>
    </row>
    <row r="191">
      <c r="A191" s="7" t="n">
        <v>44071</v>
      </c>
      <c r="B191" s="8" t="inlineStr">
        <is>
          <t>MEETUP ORG SUB 6M NEW YORK CITY</t>
        </is>
      </c>
      <c r="C191" s="9" t="n">
        <v>155.34</v>
      </c>
      <c r="D191" s="10" t="inlineStr"/>
      <c r="E191" s="8" t="inlineStr">
        <is>
          <t>VICKI ZERTOPOULOS</t>
        </is>
      </c>
      <c r="F191" s="8" t="inlineStr">
        <is>
          <t>2020-09-22</t>
        </is>
      </c>
      <c r="G191" s="8" t="inlineStr">
        <is>
          <t>AUD 155.34 includes conversion commission of AUD 4.52</t>
        </is>
      </c>
    </row>
    <row r="192">
      <c r="A192" s="7" t="n">
        <v>44255</v>
      </c>
      <c r="B192" s="8" t="inlineStr">
        <is>
          <t>MEETUP ORG SUB 6M NEW YORK</t>
        </is>
      </c>
      <c r="C192" s="9" t="n">
        <v>145.03</v>
      </c>
      <c r="D192" s="10" t="inlineStr"/>
      <c r="E192" s="8" t="inlineStr">
        <is>
          <t>VICKI ZERTOPOULOS</t>
        </is>
      </c>
      <c r="F192" s="8" t="inlineStr">
        <is>
          <t>2021-03-22</t>
        </is>
      </c>
      <c r="G192" s="8" t="inlineStr">
        <is>
          <t>AUD 145.03 includes conversion commission of AUD 4.22</t>
        </is>
      </c>
    </row>
    <row r="193">
      <c r="A193" s="7" t="n">
        <v>44369</v>
      </c>
      <c r="B193" s="8" t="inlineStr">
        <is>
          <t>OTTER.AI LOS ALTOS</t>
        </is>
      </c>
      <c r="C193" s="9" t="n">
        <v>137.46</v>
      </c>
      <c r="D193" s="10" t="inlineStr"/>
      <c r="E193" s="8" t="inlineStr">
        <is>
          <t>VICKI ZERTOPOULOS</t>
        </is>
      </c>
      <c r="F193" s="8" t="inlineStr">
        <is>
          <t>2021-07-22</t>
        </is>
      </c>
      <c r="G193" s="8" t="inlineStr">
        <is>
          <t>AUD 137.46 includes conversion commission of AUD 4.00</t>
        </is>
      </c>
    </row>
    <row r="194">
      <c r="A194" s="7" t="n">
        <v>44049</v>
      </c>
      <c r="B194" s="8" t="inlineStr">
        <is>
          <t>PAYPAL *BIG W 01300244999</t>
        </is>
      </c>
      <c r="C194" s="9" t="n">
        <v>32</v>
      </c>
      <c r="D194" s="10" t="inlineStr"/>
      <c r="E194" s="8" t="inlineStr">
        <is>
          <t>VICKI ZERTOPOULOS</t>
        </is>
      </c>
      <c r="F194" s="8" t="inlineStr">
        <is>
          <t>2020-08-22</t>
        </is>
      </c>
      <c r="G194" s="8" t="n"/>
    </row>
    <row r="195">
      <c r="A195" s="7" t="n">
        <v>44080</v>
      </c>
      <c r="B195" s="8" t="inlineStr">
        <is>
          <t>PAYPAL *BIG W 01300244999</t>
        </is>
      </c>
      <c r="C195" s="9" t="n">
        <v>54</v>
      </c>
      <c r="D195" s="10" t="inlineStr"/>
      <c r="E195" s="8" t="inlineStr">
        <is>
          <t>VICKI ZERTOPOULOS</t>
        </is>
      </c>
      <c r="F195" s="8" t="inlineStr">
        <is>
          <t>2020-09-22</t>
        </is>
      </c>
      <c r="G195" s="8" t="n"/>
    </row>
    <row r="196">
      <c r="A196" s="7" t="n">
        <v>44081</v>
      </c>
      <c r="B196" s="8" t="inlineStr">
        <is>
          <t>PAYPAL *BIG W 01300244999</t>
        </is>
      </c>
      <c r="C196" s="9" t="n">
        <v>48</v>
      </c>
      <c r="D196" s="10" t="inlineStr"/>
      <c r="E196" s="8" t="inlineStr">
        <is>
          <t>VICKI ZERTOPOULOS</t>
        </is>
      </c>
      <c r="F196" s="8" t="inlineStr">
        <is>
          <t>2020-09-22</t>
        </is>
      </c>
      <c r="G196" s="8" t="n"/>
    </row>
    <row r="197">
      <c r="A197" s="7" t="n">
        <v>44081</v>
      </c>
      <c r="B197" s="8" t="inlineStr">
        <is>
          <t>PAYPAL *BIG W 01300244999</t>
        </is>
      </c>
      <c r="C197" s="9" t="n">
        <v>10</v>
      </c>
      <c r="D197" s="10" t="inlineStr"/>
      <c r="E197" s="8" t="inlineStr">
        <is>
          <t>VICKI ZERTOPOULOS</t>
        </is>
      </c>
      <c r="F197" s="8" t="inlineStr">
        <is>
          <t>2020-09-22</t>
        </is>
      </c>
      <c r="G197" s="8" t="n"/>
    </row>
    <row r="198">
      <c r="A198" s="7" t="n">
        <v>44087</v>
      </c>
      <c r="B198" s="8" t="inlineStr">
        <is>
          <t>PAYPAL *BIG W 01300244999</t>
        </is>
      </c>
      <c r="C198" s="9" t="n">
        <v>29</v>
      </c>
      <c r="D198" s="10" t="inlineStr"/>
      <c r="E198" s="8" t="inlineStr">
        <is>
          <t>VICKI ZERTOPOULOS</t>
        </is>
      </c>
      <c r="F198" s="8" t="inlineStr">
        <is>
          <t>2020-09-22</t>
        </is>
      </c>
      <c r="G198" s="8" t="n"/>
    </row>
    <row r="199">
      <c r="A199" s="7" t="n">
        <v>44097</v>
      </c>
      <c r="B199" s="8" t="inlineStr">
        <is>
          <t>PAYPAL *BIG W 01300244999</t>
        </is>
      </c>
      <c r="C199" s="9" t="n">
        <v>40</v>
      </c>
      <c r="D199" s="10" t="inlineStr"/>
      <c r="E199" s="8" t="inlineStr">
        <is>
          <t>VICKI ZERTOPOULOS</t>
        </is>
      </c>
      <c r="F199" s="8" t="inlineStr">
        <is>
          <t>2020-10-22</t>
        </is>
      </c>
      <c r="G199" s="8" t="n"/>
    </row>
    <row r="200">
      <c r="A200" s="7" t="n">
        <v>44105</v>
      </c>
      <c r="B200" s="8" t="inlineStr">
        <is>
          <t>PAYPAL *BIG W 01300244999</t>
        </is>
      </c>
      <c r="C200" s="9" t="n">
        <v>98</v>
      </c>
      <c r="D200" s="10" t="inlineStr"/>
      <c r="E200" s="8" t="inlineStr">
        <is>
          <t>VICKI ZERTOPOULOS</t>
        </is>
      </c>
      <c r="F200" s="8" t="inlineStr">
        <is>
          <t>2020-10-22</t>
        </is>
      </c>
      <c r="G200" s="8" t="n"/>
    </row>
    <row r="201">
      <c r="A201" s="7" t="n">
        <v>44106</v>
      </c>
      <c r="B201" s="8" t="inlineStr">
        <is>
          <t>PAYPAL *BIG W 01300244999</t>
        </is>
      </c>
      <c r="C201" s="9" t="n">
        <v>59</v>
      </c>
      <c r="D201" s="10" t="inlineStr"/>
      <c r="E201" s="8" t="inlineStr">
        <is>
          <t>VICKI ZERTOPOULOS</t>
        </is>
      </c>
      <c r="F201" s="8" t="inlineStr">
        <is>
          <t>2020-10-22</t>
        </is>
      </c>
      <c r="G201" s="8" t="n"/>
    </row>
    <row r="202">
      <c r="A202" s="7" t="n">
        <v>44062</v>
      </c>
      <c r="B202" s="8" t="inlineStr">
        <is>
          <t>PAYPAL *COLESSUPERM 01800455400</t>
        </is>
      </c>
      <c r="C202" s="9" t="n">
        <v>54.05</v>
      </c>
      <c r="D202" s="10" t="inlineStr"/>
      <c r="E202" s="8" t="inlineStr">
        <is>
          <t>VICKI ZERTOPOULOS</t>
        </is>
      </c>
      <c r="F202" s="8" t="inlineStr">
        <is>
          <t>2020-08-22</t>
        </is>
      </c>
      <c r="G202" s="8" t="n"/>
    </row>
    <row r="203">
      <c r="A203" s="7" t="n">
        <v>44062</v>
      </c>
      <c r="B203" s="8" t="inlineStr">
        <is>
          <t>PAYPAL *COLESSUPERM 01800455400</t>
        </is>
      </c>
      <c r="C203" s="9" t="n">
        <v>107.16</v>
      </c>
      <c r="D203" s="10" t="inlineStr"/>
      <c r="E203" s="8" t="inlineStr">
        <is>
          <t>VICKI ZERTOPOULOS</t>
        </is>
      </c>
      <c r="F203" s="8" t="inlineStr">
        <is>
          <t>2020-08-22</t>
        </is>
      </c>
      <c r="G203" s="8" t="n"/>
    </row>
    <row r="204">
      <c r="A204" s="7" t="n">
        <v>44067</v>
      </c>
      <c r="B204" s="8" t="inlineStr">
        <is>
          <t>PAYPAL *COLESSUPERM 01800455400</t>
        </is>
      </c>
      <c r="C204" s="9" t="n">
        <v>80.15000000000001</v>
      </c>
      <c r="D204" s="10" t="inlineStr"/>
      <c r="E204" s="8" t="inlineStr">
        <is>
          <t>VICKI ZERTOPOULOS</t>
        </is>
      </c>
      <c r="F204" s="8" t="inlineStr">
        <is>
          <t>2020-09-22</t>
        </is>
      </c>
      <c r="G204" s="8" t="n"/>
    </row>
    <row r="205">
      <c r="A205" s="7" t="n">
        <v>44073</v>
      </c>
      <c r="B205" s="8" t="inlineStr">
        <is>
          <t>PAYPAL *COLESSUPERM 01800455400</t>
        </is>
      </c>
      <c r="C205" s="9" t="n">
        <v>144.3</v>
      </c>
      <c r="D205" s="10" t="inlineStr"/>
      <c r="E205" s="8" t="inlineStr">
        <is>
          <t>VICKI ZERTOPOULOS</t>
        </is>
      </c>
      <c r="F205" s="8" t="inlineStr">
        <is>
          <t>2020-09-22</t>
        </is>
      </c>
      <c r="G205" s="8" t="n"/>
    </row>
    <row r="206">
      <c r="A206" s="7" t="n">
        <v>44080</v>
      </c>
      <c r="B206" s="8" t="inlineStr">
        <is>
          <t>PAYPAL *COLESSUPERM 01800455400</t>
        </is>
      </c>
      <c r="C206" s="9" t="n">
        <v>172.54</v>
      </c>
      <c r="D206" s="10" t="inlineStr"/>
      <c r="E206" s="8" t="inlineStr">
        <is>
          <t>VICKI ZERTOPOULOS</t>
        </is>
      </c>
      <c r="F206" s="8" t="inlineStr">
        <is>
          <t>2020-09-22</t>
        </is>
      </c>
      <c r="G206" s="8" t="n"/>
    </row>
    <row r="207">
      <c r="A207" s="7" t="n">
        <v>44084</v>
      </c>
      <c r="B207" s="8" t="inlineStr">
        <is>
          <t>PAYPAL *COLESSUPERM 01800455400</t>
        </is>
      </c>
      <c r="C207" s="9" t="n">
        <v>113.07</v>
      </c>
      <c r="D207" s="10" t="inlineStr"/>
      <c r="E207" s="8" t="inlineStr">
        <is>
          <t>VICKI ZERTOPOULOS</t>
        </is>
      </c>
      <c r="F207" s="8" t="inlineStr">
        <is>
          <t>2020-09-22</t>
        </is>
      </c>
      <c r="G207" s="8" t="n"/>
    </row>
    <row r="208">
      <c r="A208" s="7" t="n">
        <v>44094</v>
      </c>
      <c r="B208" s="8" t="inlineStr">
        <is>
          <t>PAYPAL *COLESSUPERM 01800455400</t>
        </is>
      </c>
      <c r="C208" s="9" t="n">
        <v>147.8</v>
      </c>
      <c r="D208" s="10" t="inlineStr"/>
      <c r="E208" s="8" t="inlineStr">
        <is>
          <t>VICKI ZERTOPOULOS</t>
        </is>
      </c>
      <c r="F208" s="8" t="inlineStr">
        <is>
          <t>2020-09-22</t>
        </is>
      </c>
      <c r="G208" s="8" t="n"/>
    </row>
    <row r="209">
      <c r="A209" s="7" t="n">
        <v>44096</v>
      </c>
      <c r="B209" s="8" t="inlineStr">
        <is>
          <t>PAYPAL *COLESSUPERM 01800455400</t>
        </is>
      </c>
      <c r="C209" s="9" t="n">
        <v>73</v>
      </c>
      <c r="D209" s="10" t="inlineStr"/>
      <c r="E209" s="8" t="inlineStr">
        <is>
          <t>VICKI ZERTOPOULOS</t>
        </is>
      </c>
      <c r="F209" s="8" t="inlineStr">
        <is>
          <t>2020-10-22</t>
        </is>
      </c>
      <c r="G209" s="8" t="n"/>
    </row>
    <row r="210">
      <c r="A210" s="7" t="n">
        <v>44103</v>
      </c>
      <c r="B210" s="8" t="inlineStr">
        <is>
          <t>PAYPAL *COLESSUPERM 01800455400</t>
        </is>
      </c>
      <c r="C210" s="9" t="n">
        <v>156.32</v>
      </c>
      <c r="D210" s="10" t="inlineStr"/>
      <c r="E210" s="8" t="inlineStr">
        <is>
          <t>VICKI ZERTOPOULOS</t>
        </is>
      </c>
      <c r="F210" s="8" t="inlineStr">
        <is>
          <t>2020-10-22</t>
        </is>
      </c>
      <c r="G210" s="8" t="n"/>
    </row>
    <row r="211">
      <c r="A211" s="7" t="n">
        <v>44115</v>
      </c>
      <c r="B211" s="8" t="inlineStr">
        <is>
          <t>PAYPAL *COLESSUPERM 01800455400</t>
        </is>
      </c>
      <c r="C211" s="9" t="n">
        <v>179.77</v>
      </c>
      <c r="D211" s="10" t="inlineStr"/>
      <c r="E211" s="8" t="inlineStr">
        <is>
          <t>VICKI ZERTOPOULOS</t>
        </is>
      </c>
      <c r="F211" s="8" t="inlineStr">
        <is>
          <t>2020-10-22</t>
        </is>
      </c>
      <c r="G211" s="8" t="n"/>
    </row>
    <row r="212">
      <c r="A212" s="7" t="n">
        <v>44118</v>
      </c>
      <c r="B212" s="8" t="inlineStr">
        <is>
          <t>PAYPAL *COLESSUPERM 01800455400</t>
        </is>
      </c>
      <c r="C212" s="9" t="n">
        <v>138.27</v>
      </c>
      <c r="D212" s="10" t="inlineStr"/>
      <c r="E212" s="8" t="inlineStr">
        <is>
          <t>VICKI ZERTOPOULOS</t>
        </is>
      </c>
      <c r="F212" s="8" t="inlineStr">
        <is>
          <t>2020-10-22</t>
        </is>
      </c>
      <c r="G212" s="8" t="n"/>
    </row>
    <row r="213">
      <c r="A213" s="7" t="n">
        <v>44158</v>
      </c>
      <c r="B213" s="8" t="inlineStr">
        <is>
          <t>PAYPAL *COLESSUPERM 01800455400</t>
        </is>
      </c>
      <c r="C213" s="9" t="n">
        <v>125.15</v>
      </c>
      <c r="D213" s="10" t="inlineStr"/>
      <c r="E213" s="8" t="inlineStr">
        <is>
          <t>VICKI ZERTOPOULOS</t>
        </is>
      </c>
      <c r="F213" s="8" t="inlineStr">
        <is>
          <t>2020-12-22</t>
        </is>
      </c>
      <c r="G213" s="8" t="n"/>
    </row>
    <row r="214">
      <c r="A214" s="7" t="n">
        <v>44182</v>
      </c>
      <c r="B214" s="8" t="inlineStr">
        <is>
          <t>PAYPAL *COLESSUPERM 01800455400</t>
        </is>
      </c>
      <c r="C214" s="9" t="n">
        <v>258.55</v>
      </c>
      <c r="D214" s="10" t="inlineStr"/>
      <c r="E214" s="8" t="inlineStr">
        <is>
          <t>VICKI ZERTOPOULOS</t>
        </is>
      </c>
      <c r="F214" s="8" t="inlineStr">
        <is>
          <t>2020-12-22</t>
        </is>
      </c>
      <c r="G214" s="8" t="n"/>
    </row>
    <row r="215">
      <c r="A215" s="7" t="n">
        <v>44188</v>
      </c>
      <c r="B215" s="8" t="inlineStr">
        <is>
          <t>PAYPAL *COLESSUPERM 01800455400</t>
        </is>
      </c>
      <c r="C215" s="9" t="n">
        <v>258.98</v>
      </c>
      <c r="D215" s="10" t="inlineStr"/>
      <c r="E215" s="8" t="inlineStr">
        <is>
          <t>VICKI ZERTOPOULOS</t>
        </is>
      </c>
      <c r="F215" s="8" t="inlineStr">
        <is>
          <t>2021-01-22</t>
        </is>
      </c>
      <c r="G215" s="8" t="n"/>
    </row>
    <row r="216">
      <c r="A216" s="7" t="n">
        <v>44355</v>
      </c>
      <c r="B216" s="8" t="inlineStr">
        <is>
          <t>PAYPAL *DONNA CAMERON 0407828362</t>
        </is>
      </c>
      <c r="C216" s="9" t="n">
        <v>184.51</v>
      </c>
      <c r="D216" s="10" t="inlineStr"/>
      <c r="E216" s="8" t="inlineStr">
        <is>
          <t>VICKI ZERTOPOULOS</t>
        </is>
      </c>
      <c r="F216" s="8" t="inlineStr">
        <is>
          <t>2021-06-22</t>
        </is>
      </c>
      <c r="G216" s="8" t="n"/>
    </row>
    <row r="217">
      <c r="A217" s="7" t="n">
        <v>44376</v>
      </c>
      <c r="B217" s="8" t="inlineStr">
        <is>
          <t>PAYPAL *DONNA CAMERON 0407828362</t>
        </is>
      </c>
      <c r="C217" s="9" t="n">
        <v>184.51</v>
      </c>
      <c r="D217" s="10" t="inlineStr"/>
      <c r="E217" s="8" t="inlineStr">
        <is>
          <t>VICKI ZERTOPOULOS</t>
        </is>
      </c>
      <c r="F217" s="8" t="inlineStr">
        <is>
          <t>2021-07-22</t>
        </is>
      </c>
      <c r="G217" s="8" t="inlineStr">
        <is>
          <t>offers, or wish to change the address, name or phone number conversion commission of 3.00%. Any Charges converted by third parties prior to being</t>
        </is>
      </c>
    </row>
    <row r="218">
      <c r="A218" s="7" t="n">
        <v>44068</v>
      </c>
      <c r="B218" s="8" t="inlineStr">
        <is>
          <t>PAYPAL *EBAY AU 6268070638</t>
        </is>
      </c>
      <c r="C218" s="9" t="n">
        <v>30.6</v>
      </c>
      <c r="D218" s="10" t="inlineStr"/>
      <c r="E218" s="8" t="inlineStr">
        <is>
          <t>VICKI ZERTOPOULOS</t>
        </is>
      </c>
      <c r="F218" s="8" t="inlineStr">
        <is>
          <t>2020-09-22</t>
        </is>
      </c>
      <c r="G218" s="8" t="n"/>
    </row>
    <row r="219">
      <c r="A219" s="7" t="n">
        <v>44078</v>
      </c>
      <c r="B219" s="8" t="inlineStr">
        <is>
          <t>PAYPAL *EBAY AU 6268070638</t>
        </is>
      </c>
      <c r="C219" s="9" t="n">
        <v>51.9</v>
      </c>
      <c r="D219" s="10" t="inlineStr"/>
      <c r="E219" s="8" t="inlineStr">
        <is>
          <t>VICKI ZERTOPOULOS</t>
        </is>
      </c>
      <c r="F219" s="8" t="inlineStr">
        <is>
          <t>2020-09-22</t>
        </is>
      </c>
      <c r="G219" s="8" t="n"/>
    </row>
    <row r="220">
      <c r="A220" s="7" t="n">
        <v>44096</v>
      </c>
      <c r="B220" s="8" t="inlineStr">
        <is>
          <t>PAYPAL *PADDLE.COM 02038794714</t>
        </is>
      </c>
      <c r="C220" s="9" t="n">
        <v>23.53</v>
      </c>
      <c r="D220" s="10" t="inlineStr"/>
      <c r="E220" s="8" t="inlineStr">
        <is>
          <t>VICKI ZERTOPOULOS</t>
        </is>
      </c>
      <c r="F220" s="8" t="inlineStr">
        <is>
          <t>2020-10-22</t>
        </is>
      </c>
      <c r="G220" s="8" t="inlineStr">
        <is>
          <t>AUD 23.53 includes conversion commission of AUD .69</t>
        </is>
      </c>
    </row>
    <row r="221">
      <c r="A221" s="7" t="n">
        <v>44125</v>
      </c>
      <c r="B221" s="8" t="inlineStr">
        <is>
          <t>PAYPAL *PADDLE.COM 02038794714</t>
        </is>
      </c>
      <c r="C221" s="9" t="n">
        <v>23.96</v>
      </c>
      <c r="D221" s="10" t="inlineStr"/>
      <c r="E221" s="8" t="inlineStr">
        <is>
          <t>VICKI ZERTOPOULOS</t>
        </is>
      </c>
      <c r="F221" s="8" t="inlineStr">
        <is>
          <t>2020-11-22</t>
        </is>
      </c>
      <c r="G221" s="8" t="inlineStr">
        <is>
          <t>AUD 23.96 includes conversion commission of AUD .70</t>
        </is>
      </c>
    </row>
    <row r="222">
      <c r="A222" s="7" t="n">
        <v>44156</v>
      </c>
      <c r="B222" s="8" t="inlineStr">
        <is>
          <t>PAYPAL *PADDLE.COM 02038794714</t>
        </is>
      </c>
      <c r="C222" s="9" t="n">
        <v>23.27</v>
      </c>
      <c r="D222" s="10" t="inlineStr"/>
      <c r="E222" s="8" t="inlineStr">
        <is>
          <t>VICKI ZERTOPOULOS</t>
        </is>
      </c>
      <c r="F222" s="8" t="inlineStr">
        <is>
          <t>2020-12-22</t>
        </is>
      </c>
      <c r="G222" s="8" t="inlineStr">
        <is>
          <t>AUD 23.27 includes conversion commission of AUD .68</t>
        </is>
      </c>
    </row>
    <row r="223">
      <c r="A223" s="7" t="n">
        <v>44186</v>
      </c>
      <c r="B223" s="8" t="inlineStr">
        <is>
          <t>PAYPAL *PADDLE.COM 02038794714</t>
        </is>
      </c>
      <c r="C223" s="9" t="n">
        <v>22.71</v>
      </c>
      <c r="D223" s="10" t="inlineStr"/>
      <c r="E223" s="8" t="inlineStr">
        <is>
          <t>VICKI ZERTOPOULOS</t>
        </is>
      </c>
      <c r="F223" s="8" t="inlineStr">
        <is>
          <t>2021-01-22</t>
        </is>
      </c>
      <c r="G223" s="8" t="inlineStr">
        <is>
          <t>AUD 22.71 includes conversion commission of AUD .66</t>
        </is>
      </c>
    </row>
    <row r="224">
      <c r="A224" s="7" t="n">
        <v>44217</v>
      </c>
      <c r="B224" s="8" t="inlineStr">
        <is>
          <t>PAYPAL *PADDLE.COM 02038794714</t>
        </is>
      </c>
      <c r="C224" s="9" t="n">
        <v>21.86</v>
      </c>
      <c r="D224" s="10" t="inlineStr"/>
      <c r="E224" s="8" t="inlineStr">
        <is>
          <t>VICKI ZERTOPOULOS</t>
        </is>
      </c>
      <c r="F224" s="8" t="inlineStr">
        <is>
          <t>2021-02-22</t>
        </is>
      </c>
      <c r="G224" s="8" t="inlineStr">
        <is>
          <t>AUD 21.86 includes conversion commission of AUD .64</t>
        </is>
      </c>
    </row>
    <row r="225">
      <c r="A225" s="7" t="n">
        <v>44248</v>
      </c>
      <c r="B225" s="8" t="inlineStr">
        <is>
          <t>PAYPAL *PADDLE.COM 02038794714</t>
        </is>
      </c>
      <c r="C225" s="9" t="n">
        <v>21.73</v>
      </c>
      <c r="D225" s="10" t="inlineStr"/>
      <c r="E225" s="8" t="inlineStr">
        <is>
          <t>VICKI ZERTOPOULOS</t>
        </is>
      </c>
      <c r="F225" s="8" t="inlineStr">
        <is>
          <t>2021-03-22</t>
        </is>
      </c>
      <c r="G225" s="8" t="inlineStr">
        <is>
          <t>AUD 21.73 includes conversion commission of AUD .63</t>
        </is>
      </c>
    </row>
    <row r="226">
      <c r="A226" s="7" t="n">
        <v>44276</v>
      </c>
      <c r="B226" s="8" t="inlineStr">
        <is>
          <t>PAYPAL *PADDLE.COM 02038794714</t>
        </is>
      </c>
      <c r="C226" s="9" t="n">
        <v>21.95</v>
      </c>
      <c r="D226" s="10" t="inlineStr"/>
      <c r="E226" s="8" t="inlineStr">
        <is>
          <t>VICKI ZERTOPOULOS</t>
        </is>
      </c>
      <c r="F226" s="8" t="inlineStr">
        <is>
          <t>2021-04-22</t>
        </is>
      </c>
      <c r="G226" s="8" t="inlineStr">
        <is>
          <t>AUD 21.95 includes conversion commission of AUD .64</t>
        </is>
      </c>
    </row>
    <row r="227">
      <c r="A227" s="7" t="n">
        <v>44307</v>
      </c>
      <c r="B227" s="8" t="inlineStr">
        <is>
          <t>PAYPAL *PADDLE.COM 02038794714</t>
        </is>
      </c>
      <c r="C227" s="9" t="n">
        <v>22.01</v>
      </c>
      <c r="D227" s="10" t="inlineStr"/>
      <c r="E227" s="8" t="inlineStr">
        <is>
          <t>VICKI ZERTOPOULOS</t>
        </is>
      </c>
      <c r="F227" s="8" t="inlineStr">
        <is>
          <t>2021-05-22</t>
        </is>
      </c>
      <c r="G227" s="8" t="inlineStr">
        <is>
          <t>AUD 22.01 includes conversion commission of AUD .64</t>
        </is>
      </c>
    </row>
    <row r="228">
      <c r="A228" s="7" t="n">
        <v>44337</v>
      </c>
      <c r="B228" s="8" t="inlineStr">
        <is>
          <t>PAYPAL *PADDLE.COM 02038794714</t>
        </is>
      </c>
      <c r="C228" s="9" t="n">
        <v>21.92</v>
      </c>
      <c r="D228" s="10" t="inlineStr"/>
      <c r="E228" s="8" t="inlineStr">
        <is>
          <t>VICKI ZERTOPOULOS</t>
        </is>
      </c>
      <c r="F228" s="8" t="inlineStr">
        <is>
          <t>2021-06-22</t>
        </is>
      </c>
      <c r="G228" s="8" t="inlineStr">
        <is>
          <t>AUD 21.92 includes conversion commission of AUD .64</t>
        </is>
      </c>
    </row>
    <row r="229">
      <c r="A229" s="7" t="n">
        <v>44368</v>
      </c>
      <c r="B229" s="8" t="inlineStr">
        <is>
          <t>PAYPAL *PADDLE.COM 02038794714</t>
        </is>
      </c>
      <c r="C229" s="9" t="n">
        <v>22.66</v>
      </c>
      <c r="D229" s="10" t="inlineStr"/>
      <c r="E229" s="8" t="inlineStr">
        <is>
          <t>VICKI ZERTOPOULOS</t>
        </is>
      </c>
      <c r="F229" s="8" t="inlineStr">
        <is>
          <t>2021-07-22</t>
        </is>
      </c>
      <c r="G229" s="8" t="inlineStr">
        <is>
          <t>AUD 22.66 includes conversion commission of AUD .66</t>
        </is>
      </c>
    </row>
    <row r="230">
      <c r="A230" s="7" t="n">
        <v>44280</v>
      </c>
      <c r="B230" s="8" t="inlineStr">
        <is>
          <t>PAYPAL *UBER AU 4155184061</t>
        </is>
      </c>
      <c r="C230" s="9" t="n">
        <v>34.17</v>
      </c>
      <c r="D230" s="10" t="inlineStr"/>
      <c r="E230" s="8" t="inlineStr">
        <is>
          <t>VICKI ZERTOPOULOS</t>
        </is>
      </c>
      <c r="F230" s="8" t="inlineStr">
        <is>
          <t>2021-04-22</t>
        </is>
      </c>
      <c r="G230" s="8" t="n"/>
    </row>
    <row r="231">
      <c r="A231" s="7" t="n">
        <v>44286</v>
      </c>
      <c r="B231" s="8" t="inlineStr">
        <is>
          <t>PAYPAL *UBER AU 4155184061</t>
        </is>
      </c>
      <c r="C231" s="9" t="n">
        <v>16.7</v>
      </c>
      <c r="D231" s="10" t="inlineStr"/>
      <c r="E231" s="8" t="inlineStr">
        <is>
          <t>VICKI ZERTOPOULOS</t>
        </is>
      </c>
      <c r="F231" s="8" t="inlineStr">
        <is>
          <t>2021-04-22</t>
        </is>
      </c>
      <c r="G231" s="8" t="n"/>
    </row>
    <row r="232">
      <c r="A232" s="7" t="n">
        <v>44288</v>
      </c>
      <c r="B232" s="8" t="inlineStr">
        <is>
          <t>PAYPAL *UBER AU 4155184061</t>
        </is>
      </c>
      <c r="C232" s="9" t="n">
        <v>19.81</v>
      </c>
      <c r="D232" s="10" t="inlineStr"/>
      <c r="E232" s="8" t="inlineStr">
        <is>
          <t>VICKI ZERTOPOULOS</t>
        </is>
      </c>
      <c r="F232" s="8" t="inlineStr">
        <is>
          <t>2021-04-22</t>
        </is>
      </c>
      <c r="G232" s="8" t="n"/>
    </row>
    <row r="233">
      <c r="A233" s="7" t="n">
        <v>44365</v>
      </c>
      <c r="B233" s="8" t="inlineStr">
        <is>
          <t>PAYPAL *UBER AU 4155184061</t>
        </is>
      </c>
      <c r="C233" s="9" t="n">
        <v>25.38</v>
      </c>
      <c r="D233" s="10" t="inlineStr"/>
      <c r="E233" s="8" t="inlineStr">
        <is>
          <t>VICKI ZERTOPOULOS</t>
        </is>
      </c>
      <c r="F233" s="8" t="inlineStr">
        <is>
          <t>2021-06-22</t>
        </is>
      </c>
      <c r="G233" s="8" t="n"/>
    </row>
    <row r="234">
      <c r="A234" s="7" t="n">
        <v>44365</v>
      </c>
      <c r="B234" s="8" t="inlineStr">
        <is>
          <t>PAYPAL *UBER AU 4155184061</t>
        </is>
      </c>
      <c r="C234" s="9" t="n">
        <v>3</v>
      </c>
      <c r="D234" s="10" t="inlineStr"/>
      <c r="E234" s="8" t="inlineStr">
        <is>
          <t>VICKI ZERTOPOULOS</t>
        </is>
      </c>
      <c r="F234" s="8" t="inlineStr">
        <is>
          <t>2021-06-22</t>
        </is>
      </c>
      <c r="G234" s="8" t="n"/>
    </row>
    <row r="235">
      <c r="A235" s="7" t="n">
        <v>44365</v>
      </c>
      <c r="B235" s="8" t="inlineStr">
        <is>
          <t>PAYPAL *UBER AU 4155184061</t>
        </is>
      </c>
      <c r="C235" s="9" t="n">
        <v>15.35</v>
      </c>
      <c r="D235" s="10" t="inlineStr"/>
      <c r="E235" s="8" t="inlineStr">
        <is>
          <t>VICKI ZERTOPOULOS</t>
        </is>
      </c>
      <c r="F235" s="8" t="inlineStr">
        <is>
          <t>2021-06-22</t>
        </is>
      </c>
      <c r="G235" s="8" t="n"/>
    </row>
    <row r="236">
      <c r="A236" s="7" t="n">
        <v>44208</v>
      </c>
      <c r="B236" s="8" t="inlineStr">
        <is>
          <t>PAYPAL *UBEREATS AU 0407111111</t>
        </is>
      </c>
      <c r="C236" s="9" t="n">
        <v>109.49</v>
      </c>
      <c r="D236" s="10" t="inlineStr"/>
      <c r="E236" s="8" t="inlineStr">
        <is>
          <t>VICKI ZERTOPOULOS</t>
        </is>
      </c>
      <c r="F236" s="8" t="inlineStr">
        <is>
          <t>2021-01-22</t>
        </is>
      </c>
      <c r="G236" s="8" t="n"/>
    </row>
    <row r="237">
      <c r="A237" s="7" t="n">
        <v>44275</v>
      </c>
      <c r="B237" s="8" t="inlineStr">
        <is>
          <t>PAYPAL *UBEREATS AU 0407111111</t>
        </is>
      </c>
      <c r="C237" s="9" t="n">
        <v>85.19</v>
      </c>
      <c r="D237" s="10" t="inlineStr"/>
      <c r="E237" s="8" t="inlineStr">
        <is>
          <t>VICKI ZERTOPOULOS</t>
        </is>
      </c>
      <c r="F237" s="8" t="inlineStr">
        <is>
          <t>2021-03-22</t>
        </is>
      </c>
      <c r="G237" s="8" t="n"/>
    </row>
    <row r="238">
      <c r="A238" s="7" t="n">
        <v>44275</v>
      </c>
      <c r="B238" s="8" t="inlineStr">
        <is>
          <t>PAYPAL *UBEREATS AU 0407111111</t>
        </is>
      </c>
      <c r="C238" s="9" t="n">
        <v>90.19</v>
      </c>
      <c r="D238" s="10" t="inlineStr"/>
      <c r="E238" s="8" t="inlineStr">
        <is>
          <t>VICKI ZERTOPOULOS</t>
        </is>
      </c>
      <c r="F238" s="8" t="inlineStr">
        <is>
          <t>2021-03-22</t>
        </is>
      </c>
      <c r="G238" s="8" t="n"/>
    </row>
    <row r="239">
      <c r="A239" s="7" t="n">
        <v>44299</v>
      </c>
      <c r="B239" s="8" t="inlineStr">
        <is>
          <t>PAYPAL *UBEREATS AU 0407111111</t>
        </is>
      </c>
      <c r="C239" s="9" t="n">
        <v>68.89</v>
      </c>
      <c r="D239" s="10" t="inlineStr"/>
      <c r="E239" s="8" t="inlineStr">
        <is>
          <t>VICKI ZERTOPOULOS</t>
        </is>
      </c>
      <c r="F239" s="8" t="inlineStr">
        <is>
          <t>2021-04-22</t>
        </is>
      </c>
      <c r="G239" s="8" t="n"/>
    </row>
    <row r="240">
      <c r="A240" s="7" t="n">
        <v>44310</v>
      </c>
      <c r="B240" s="8" t="inlineStr">
        <is>
          <t>PAYPAL *UBEREATS AU 0407111111</t>
        </is>
      </c>
      <c r="C240" s="9" t="n">
        <v>59.99</v>
      </c>
      <c r="D240" s="10" t="inlineStr"/>
      <c r="E240" s="8" t="inlineStr">
        <is>
          <t>VICKI ZERTOPOULOS</t>
        </is>
      </c>
      <c r="F240" s="8" t="inlineStr">
        <is>
          <t>2021-05-22</t>
        </is>
      </c>
      <c r="G240" s="8" t="n"/>
    </row>
    <row r="241">
      <c r="A241" s="7" t="n">
        <v>44338</v>
      </c>
      <c r="B241" s="8" t="inlineStr">
        <is>
          <t>PAYPAL *UBEREATS AU 0407111111</t>
        </is>
      </c>
      <c r="C241" s="9" t="n">
        <v>22.37</v>
      </c>
      <c r="D241" s="10" t="inlineStr"/>
      <c r="E241" s="8" t="inlineStr">
        <is>
          <t>VICKI ZERTOPOULOS</t>
        </is>
      </c>
      <c r="F241" s="8" t="inlineStr">
        <is>
          <t>2021-06-22</t>
        </is>
      </c>
      <c r="G241" s="8" t="n"/>
    </row>
    <row r="242">
      <c r="A242" s="7" t="n">
        <v>44374</v>
      </c>
      <c r="B242" s="8" t="inlineStr">
        <is>
          <t>READINGS BOOKS 256 HAWTHORN</t>
        </is>
      </c>
      <c r="C242" s="9" t="n">
        <v>98.98</v>
      </c>
      <c r="D242" s="10" t="inlineStr"/>
      <c r="E242" s="8" t="inlineStr">
        <is>
          <t>VICKI ZERTOPOULOS</t>
        </is>
      </c>
      <c r="F242" s="8" t="inlineStr">
        <is>
          <t>2021-07-22</t>
        </is>
      </c>
      <c r="G242" s="8" t="n"/>
    </row>
    <row r="243">
      <c r="A243" s="7" t="n">
        <v>44162</v>
      </c>
      <c r="B243" s="8" t="inlineStr">
        <is>
          <t>READINGS DONCASTER 3299 DONCASTER</t>
        </is>
      </c>
      <c r="C243" s="9" t="n">
        <v>19.99</v>
      </c>
      <c r="D243" s="10" t="inlineStr"/>
      <c r="E243" s="8" t="inlineStr">
        <is>
          <t>VICKI ZERTOPOULOS</t>
        </is>
      </c>
      <c r="F243" s="8" t="inlineStr">
        <is>
          <t>2020-12-22</t>
        </is>
      </c>
      <c r="G243" s="8" t="n"/>
    </row>
    <row r="244">
      <c r="A244" s="7" t="n">
        <v>44259</v>
      </c>
      <c r="B244" s="8" t="inlineStr">
        <is>
          <t>THE BIG WIG BUNDALL</t>
        </is>
      </c>
      <c r="C244" s="9" t="n">
        <v>89</v>
      </c>
      <c r="D244" s="10" t="inlineStr"/>
      <c r="E244" s="8" t="inlineStr">
        <is>
          <t>VICKI ZERTOPOULOS</t>
        </is>
      </c>
      <c r="F244" s="8" t="inlineStr">
        <is>
          <t>2021-03-22</t>
        </is>
      </c>
      <c r="G244" s="8" t="n"/>
    </row>
    <row r="245">
      <c r="A245" s="7" t="n">
        <v>44146</v>
      </c>
      <c r="B245" s="8" t="inlineStr">
        <is>
          <t>THE SAGE METHOD LAKE OSWEGO</t>
        </is>
      </c>
      <c r="C245" s="9" t="n">
        <v>211.65</v>
      </c>
      <c r="D245" s="10" t="inlineStr"/>
      <c r="E245" s="8" t="inlineStr">
        <is>
          <t>VICKI ZERTOPOULOS</t>
        </is>
      </c>
      <c r="F245" s="8" t="inlineStr">
        <is>
          <t>2020-11-22</t>
        </is>
      </c>
      <c r="G245" s="8" t="inlineStr">
        <is>
          <t>AUD 211.65 includes conversion commission of AUD 6.16</t>
        </is>
      </c>
    </row>
    <row r="246">
      <c r="A246" s="7" t="n">
        <v>44184</v>
      </c>
      <c r="B246" s="8" t="inlineStr">
        <is>
          <t>THE SAGE METHOD LAKE OSWEGO</t>
        </is>
      </c>
      <c r="C246" s="9" t="n">
        <v>40.73</v>
      </c>
      <c r="D246" s="10" t="inlineStr"/>
      <c r="E246" s="8" t="inlineStr">
        <is>
          <t>VICKI ZERTOPOULOS</t>
        </is>
      </c>
      <c r="F246" s="8" t="inlineStr">
        <is>
          <t>2020-12-22</t>
        </is>
      </c>
      <c r="G246" s="8" t="inlineStr">
        <is>
          <t>AUD 40.73 includes conversion commission of AUD 1.19</t>
        </is>
      </c>
    </row>
    <row r="247">
      <c r="A247" s="7" t="n">
        <v>44206</v>
      </c>
      <c r="B247" s="8" t="inlineStr">
        <is>
          <t>THE SAGE METHOD LAKE OSWEGO</t>
        </is>
      </c>
      <c r="C247" s="9" t="n">
        <v>25.27</v>
      </c>
      <c r="D247" s="10" t="inlineStr"/>
      <c r="E247" s="8" t="inlineStr">
        <is>
          <t>VICKI ZERTOPOULOS</t>
        </is>
      </c>
      <c r="F247" s="8" t="inlineStr">
        <is>
          <t>2021-01-22</t>
        </is>
      </c>
      <c r="G247" s="8" t="inlineStr">
        <is>
          <t>AUD 25.27 includes conversion commission of AUD .74</t>
        </is>
      </c>
    </row>
    <row r="248">
      <c r="A248" s="7" t="n">
        <v>44237</v>
      </c>
      <c r="B248" s="8" t="inlineStr">
        <is>
          <t>THE SAGE METHOD LAKE OSWEGO</t>
        </is>
      </c>
      <c r="C248" s="9" t="n">
        <v>25.39</v>
      </c>
      <c r="D248" s="10" t="inlineStr"/>
      <c r="E248" s="8" t="inlineStr">
        <is>
          <t>VICKI ZERTOPOULOS</t>
        </is>
      </c>
      <c r="F248" s="8" t="inlineStr">
        <is>
          <t>2021-02-22</t>
        </is>
      </c>
      <c r="G248" s="8" t="inlineStr">
        <is>
          <t>AUD 25.39 includes conversion commission of AUD .74</t>
        </is>
      </c>
    </row>
    <row r="249">
      <c r="A249" s="7" t="n">
        <v>44238</v>
      </c>
      <c r="B249" s="8" t="inlineStr">
        <is>
          <t>THE SAGE METHOD LAKE OSWEGO</t>
        </is>
      </c>
      <c r="C249" s="9" t="n">
        <v>40.04</v>
      </c>
      <c r="D249" s="10" t="inlineStr"/>
      <c r="E249" s="8" t="inlineStr">
        <is>
          <t>VICKI ZERTOPOULOS</t>
        </is>
      </c>
      <c r="F249" s="8" t="inlineStr">
        <is>
          <t>2021-02-22</t>
        </is>
      </c>
      <c r="G249" s="8" t="inlineStr">
        <is>
          <t>AUD 40.04 includes conversion commission of AUD 1.17</t>
        </is>
      </c>
    </row>
    <row r="250">
      <c r="A250" s="7" t="n">
        <v>44265</v>
      </c>
      <c r="B250" s="8" t="inlineStr">
        <is>
          <t>THE SAGE METHOD LAKE OSWEGO</t>
        </is>
      </c>
      <c r="C250" s="9" t="n">
        <v>25.51</v>
      </c>
      <c r="D250" s="10" t="inlineStr"/>
      <c r="E250" s="8" t="inlineStr">
        <is>
          <t>VICKI ZERTOPOULOS</t>
        </is>
      </c>
      <c r="F250" s="8" t="inlineStr">
        <is>
          <t>2021-03-22</t>
        </is>
      </c>
      <c r="G250" s="8" t="inlineStr">
        <is>
          <t>AUD 25.51 includes conversion commission of AUD .74</t>
        </is>
      </c>
    </row>
    <row r="251">
      <c r="A251" s="7" t="n">
        <v>44267</v>
      </c>
      <c r="B251" s="8" t="inlineStr">
        <is>
          <t>THE SAGE METHOD LAKE OSWEGO</t>
        </is>
      </c>
      <c r="C251" s="9" t="n">
        <v>39.95</v>
      </c>
      <c r="D251" s="10" t="inlineStr"/>
      <c r="E251" s="8" t="inlineStr">
        <is>
          <t>VICKI ZERTOPOULOS</t>
        </is>
      </c>
      <c r="F251" s="8" t="inlineStr">
        <is>
          <t>2021-03-22</t>
        </is>
      </c>
      <c r="G251" s="8" t="inlineStr">
        <is>
          <t>AUD 39.95 includes conversion commission of AUD 1.16</t>
        </is>
      </c>
    </row>
    <row r="252">
      <c r="A252" s="7" t="n">
        <v>44296</v>
      </c>
      <c r="B252" s="8" t="inlineStr">
        <is>
          <t>THE SAGE METHOD LAKE OSWEGO</t>
        </is>
      </c>
      <c r="C252" s="9" t="n">
        <v>25.78</v>
      </c>
      <c r="D252" s="10" t="inlineStr"/>
      <c r="E252" s="8" t="inlineStr">
        <is>
          <t>VICKI ZERTOPOULOS</t>
        </is>
      </c>
      <c r="F252" s="8" t="inlineStr">
        <is>
          <t>2021-04-22</t>
        </is>
      </c>
      <c r="G252" s="8" t="inlineStr">
        <is>
          <t>AUD 25.78 includes conversion commission of AUD .75</t>
        </is>
      </c>
    </row>
    <row r="253">
      <c r="A253" s="7" t="n">
        <v>44299</v>
      </c>
      <c r="B253" s="8" t="inlineStr">
        <is>
          <t>THE SAGE METHOD LAKE OSWEGO</t>
        </is>
      </c>
      <c r="C253" s="9" t="n">
        <v>40.63</v>
      </c>
      <c r="D253" s="10" t="inlineStr"/>
      <c r="E253" s="8" t="inlineStr">
        <is>
          <t>VICKI ZERTOPOULOS</t>
        </is>
      </c>
      <c r="F253" s="8" t="inlineStr">
        <is>
          <t>2021-04-22</t>
        </is>
      </c>
      <c r="G253" s="8" t="inlineStr">
        <is>
          <t>AUD 40.63 includes conversion commission of AUD 1.18</t>
        </is>
      </c>
    </row>
    <row r="254">
      <c r="A254" s="7" t="n">
        <v>44326</v>
      </c>
      <c r="B254" s="8" t="inlineStr">
        <is>
          <t>THE SAGE METHOD LAKE OSWEGO</t>
        </is>
      </c>
      <c r="C254" s="9" t="n">
        <v>25.21</v>
      </c>
      <c r="D254" s="10" t="inlineStr"/>
      <c r="E254" s="8" t="inlineStr">
        <is>
          <t>VICKI ZERTOPOULOS</t>
        </is>
      </c>
      <c r="F254" s="8" t="inlineStr">
        <is>
          <t>2021-05-22</t>
        </is>
      </c>
      <c r="G254" s="8" t="inlineStr">
        <is>
          <t>AUD 25.21 includes conversion commission of AUD .73</t>
        </is>
      </c>
    </row>
    <row r="255">
      <c r="A255" s="7" t="n">
        <v>44337</v>
      </c>
      <c r="B255" s="8" t="inlineStr">
        <is>
          <t>THE SAGE METHOD LAKE OSWEGO</t>
        </is>
      </c>
      <c r="C255" s="9" t="n">
        <v>39.96</v>
      </c>
      <c r="D255" s="10" t="inlineStr"/>
      <c r="E255" s="8" t="inlineStr">
        <is>
          <t>VICKI ZERTOPOULOS</t>
        </is>
      </c>
      <c r="F255" s="8" t="inlineStr">
        <is>
          <t>2021-05-22</t>
        </is>
      </c>
      <c r="G255" s="8" t="inlineStr">
        <is>
          <t>AUD 39.96 includes conversion commission of AUD 1.16</t>
        </is>
      </c>
    </row>
    <row r="256">
      <c r="A256" s="7" t="n">
        <v>44357</v>
      </c>
      <c r="B256" s="8" t="inlineStr">
        <is>
          <t>THE SAGE METHOD LAKE OSWEGO</t>
        </is>
      </c>
      <c r="C256" s="9" t="n">
        <v>25.33</v>
      </c>
      <c r="D256" s="10" t="inlineStr"/>
      <c r="E256" s="8" t="inlineStr">
        <is>
          <t>VICKI ZERTOPOULOS</t>
        </is>
      </c>
      <c r="F256" s="8" t="inlineStr">
        <is>
          <t>2021-06-22</t>
        </is>
      </c>
      <c r="G256" s="8" t="inlineStr">
        <is>
          <t>AUD 25.33 includes conversion commission of AUD .74</t>
        </is>
      </c>
    </row>
    <row r="257">
      <c r="A257" s="7" t="n">
        <v>44148</v>
      </c>
      <c r="B257" s="8" t="inlineStr">
        <is>
          <t>TK MAXX DONCASTER DONCASTER</t>
        </is>
      </c>
      <c r="C257" s="9" t="n">
        <v>75.79000000000001</v>
      </c>
      <c r="D257" s="10" t="inlineStr"/>
      <c r="E257" s="8" t="inlineStr">
        <is>
          <t>VICKI ZERTOPOULOS</t>
        </is>
      </c>
      <c r="F257" s="8" t="inlineStr">
        <is>
          <t>2020-11-22</t>
        </is>
      </c>
      <c r="G257" s="8" t="n"/>
    </row>
    <row r="258">
      <c r="A258" s="7" t="n">
        <v>44175</v>
      </c>
      <c r="B258" s="8" t="inlineStr">
        <is>
          <t>TK MAXX DONCASTER DONCASTER</t>
        </is>
      </c>
      <c r="C258" s="9" t="n">
        <v>81.83</v>
      </c>
      <c r="D258" s="10" t="inlineStr"/>
      <c r="E258" s="8" t="inlineStr">
        <is>
          <t>VICKI ZERTOPOULOS</t>
        </is>
      </c>
      <c r="F258" s="8" t="inlineStr">
        <is>
          <t>2020-12-22</t>
        </is>
      </c>
      <c r="G258" s="8" t="n"/>
    </row>
    <row r="259">
      <c r="A259" s="7" t="n">
        <v>44187</v>
      </c>
      <c r="B259" s="8" t="inlineStr">
        <is>
          <t>UBER TRIP HELP.UBER.COM</t>
        </is>
      </c>
      <c r="C259" s="9" t="n">
        <v>44.25</v>
      </c>
      <c r="D259" s="10" t="inlineStr"/>
      <c r="E259" s="8" t="inlineStr">
        <is>
          <t>VICKI ZERTOPOULOS</t>
        </is>
      </c>
      <c r="F259" s="8" t="inlineStr">
        <is>
          <t>2021-01-22</t>
        </is>
      </c>
      <c r="G259" s="8" t="n"/>
    </row>
    <row r="260">
      <c r="A260" s="7" t="n">
        <v>44187</v>
      </c>
      <c r="B260" s="8" t="inlineStr">
        <is>
          <t>UBER TRIP HELP.UBER.COM</t>
        </is>
      </c>
      <c r="C260" s="9" t="n">
        <v>1</v>
      </c>
      <c r="D260" s="10" t="inlineStr"/>
      <c r="E260" s="8" t="inlineStr">
        <is>
          <t>VICKI ZERTOPOULOS</t>
        </is>
      </c>
      <c r="F260" s="8" t="inlineStr">
        <is>
          <t>2021-01-22</t>
        </is>
      </c>
      <c r="G260" s="8" t="n"/>
    </row>
    <row r="261">
      <c r="A261" s="7" t="n">
        <v>44187</v>
      </c>
      <c r="B261" s="8" t="inlineStr">
        <is>
          <t>UBER TRIP HELP.UBER.COM</t>
        </is>
      </c>
      <c r="C261" s="9" t="n">
        <v>12.24</v>
      </c>
      <c r="D261" s="10" t="inlineStr"/>
      <c r="E261" s="8" t="inlineStr">
        <is>
          <t>VICKI ZERTOPOULOS</t>
        </is>
      </c>
      <c r="F261" s="8" t="inlineStr">
        <is>
          <t>2021-01-22</t>
        </is>
      </c>
      <c r="G261" s="8" t="n"/>
    </row>
    <row r="262">
      <c r="A262" s="7" t="n">
        <v>44322</v>
      </c>
      <c r="B262" s="8" t="inlineStr">
        <is>
          <t>WITCHERY CAMBERWELL CAMBERWELL</t>
        </is>
      </c>
      <c r="C262" s="9" t="n">
        <v>69.91</v>
      </c>
      <c r="D262" s="10" t="inlineStr"/>
      <c r="E262" s="8" t="inlineStr">
        <is>
          <t>VICKI ZERTOPOULOS</t>
        </is>
      </c>
      <c r="F262" s="8" t="inlineStr">
        <is>
          <t>2021-05-22</t>
        </is>
      </c>
      <c r="G262" s="8" t="n"/>
    </row>
    <row r="263">
      <c r="A263" s="7" t="n">
        <v>44175</v>
      </c>
      <c r="B263" s="8" t="inlineStr">
        <is>
          <t>WITCHERY DONCASTER DONCASTER</t>
        </is>
      </c>
      <c r="C263" s="9" t="n">
        <v>409.41</v>
      </c>
      <c r="D263" s="10" t="inlineStr"/>
      <c r="E263" s="8" t="inlineStr">
        <is>
          <t>VICKI ZERTOPOULOS</t>
        </is>
      </c>
      <c r="F263" s="8" t="inlineStr">
        <is>
          <t>2020-12-22</t>
        </is>
      </c>
      <c r="G263" s="8" t="n"/>
    </row>
    <row r="264">
      <c r="A264" s="7" t="n">
        <v>44226</v>
      </c>
      <c r="B264" s="8" t="inlineStr">
        <is>
          <t>WITCHERY DONCASTER DONCASTER</t>
        </is>
      </c>
      <c r="C264" s="9" t="n">
        <v>159.92</v>
      </c>
      <c r="D264" s="10" t="inlineStr"/>
      <c r="E264" s="8" t="inlineStr">
        <is>
          <t>VICKI ZERTOPOULOS</t>
        </is>
      </c>
      <c r="F264" s="8" t="inlineStr">
        <is>
          <t>2021-02-22</t>
        </is>
      </c>
      <c r="G264" s="8" t="n"/>
    </row>
    <row r="265">
      <c r="A265" s="7" t="n">
        <v>44323</v>
      </c>
      <c r="B265" s="8" t="inlineStr">
        <is>
          <t>WITCHERY DONCASTER DONCASTER</t>
        </is>
      </c>
      <c r="C265" s="9" t="n">
        <v>183.96</v>
      </c>
      <c r="D265" s="10" t="inlineStr"/>
      <c r="E265" s="8" t="inlineStr">
        <is>
          <t>VICKI ZERTOPOULOS</t>
        </is>
      </c>
      <c r="F265" s="8" t="inlineStr">
        <is>
          <t>2021-05-22</t>
        </is>
      </c>
      <c r="G265" s="8" t="n"/>
    </row>
    <row r="266">
      <c r="A266" s="7" t="n">
        <v>44233</v>
      </c>
      <c r="B266" s="8" t="inlineStr">
        <is>
          <t>WITCHERY MELBOURNE CENT MELBOURNE</t>
        </is>
      </c>
      <c r="C266" s="9" t="n">
        <v>19.95</v>
      </c>
      <c r="D266" s="10" t="inlineStr"/>
      <c r="E266" s="8" t="inlineStr">
        <is>
          <t>VICKI ZERTOPOULOS</t>
        </is>
      </c>
      <c r="F266" s="8" t="inlineStr">
        <is>
          <t>2021-02-22</t>
        </is>
      </c>
      <c r="G266" s="8" t="n"/>
    </row>
    <row r="267">
      <c r="A267" s="7" t="n">
        <v>44286</v>
      </c>
      <c r="B267" s="8" t="inlineStr">
        <is>
          <t>ZARA AUSTRALIA - 1382 DONCASTER</t>
        </is>
      </c>
      <c r="C267" s="9" t="n">
        <v>240</v>
      </c>
      <c r="D267" s="10" t="inlineStr"/>
      <c r="E267" s="8" t="inlineStr">
        <is>
          <t>VICKI ZERTOPOULOS</t>
        </is>
      </c>
      <c r="F267" s="8" t="inlineStr">
        <is>
          <t>2021-04-22</t>
        </is>
      </c>
      <c r="G267" s="8" t="n"/>
    </row>
    <row r="268">
      <c r="A268" s="7" t="n">
        <v>44286</v>
      </c>
      <c r="B268" s="8" t="inlineStr">
        <is>
          <t>ZARA AUSTRALIA - 1382 DONCASTER</t>
        </is>
      </c>
      <c r="C268" s="9" t="n">
        <v>55.95</v>
      </c>
      <c r="D268" s="10" t="inlineStr"/>
      <c r="E268" s="8" t="inlineStr">
        <is>
          <t>VICKI ZERTOPOULOS</t>
        </is>
      </c>
      <c r="F268" s="8" t="inlineStr">
        <is>
          <t>2021-04-22</t>
        </is>
      </c>
      <c r="G268" s="8" t="n"/>
    </row>
    <row r="269">
      <c r="B269" s="11" t="inlineStr">
        <is>
          <t>TOTAL (all rows above)</t>
        </is>
      </c>
      <c r="C269" s="12">
        <f>SUM(C5:C268)</f>
        <v/>
      </c>
      <c r="D269" s="13">
        <f>SUMIF(D5:D268,"Y",C5:C268)</f>
        <v/>
      </c>
    </row>
    <row r="270">
      <c r="B270" s="14" t="inlineStr">
        <is>
          <t>↑ col C = total of listed items; col D = total you've marked 'Y' (business)</t>
        </is>
      </c>
    </row>
  </sheetData>
  <autoFilter ref="A4:G268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4" customWidth="1" min="4" max="4"/>
    <col width="20" customWidth="1" min="5" max="5"/>
    <col width="13" customWidth="1" min="6" max="6"/>
    <col width="50" customWidth="1" min="7" max="7"/>
  </cols>
  <sheetData>
    <row r="1">
      <c r="A1" s="4" t="inlineStr">
        <is>
          <t>Financial Year 2020-21 (1 Jul 2020 – 30 Jun 2021) — Auto-flagged as Stylecolab (confirm or change to N)</t>
        </is>
      </c>
    </row>
    <row r="2">
      <c r="A2" s="5" t="inlineStr">
        <is>
          <t>Put Y (business) or N (personal) in the 'Business?' column. Items are grouped by merchant so you can decide similar ones together.</t>
        </is>
      </c>
    </row>
    <row r="4">
      <c r="A4" s="6" t="inlineStr">
        <is>
          <t>Date</t>
        </is>
      </c>
      <c r="B4" s="6" t="inlineStr">
        <is>
          <t>Merchant &amp; Location</t>
        </is>
      </c>
      <c r="C4" s="6" t="inlineStr">
        <is>
          <t>Amount (AUD)</t>
        </is>
      </c>
      <c r="D4" s="6" t="inlineStr">
        <is>
          <t>Business? (Y/N)</t>
        </is>
      </c>
      <c r="E4" s="6" t="inlineStr">
        <is>
          <t>Cardholder</t>
        </is>
      </c>
      <c r="F4" s="6" t="inlineStr">
        <is>
          <t>Source Stmt</t>
        </is>
      </c>
      <c r="G4" s="6" t="inlineStr">
        <is>
          <t>Notes</t>
        </is>
      </c>
    </row>
    <row r="5">
      <c r="A5" s="7" t="n">
        <v>44275</v>
      </c>
      <c r="B5" s="8" t="inlineStr">
        <is>
          <t>CABCHARGE AUSTRALIA DARLINGHURST</t>
        </is>
      </c>
      <c r="C5" s="9" t="n">
        <v>24.2</v>
      </c>
      <c r="D5" s="15" t="inlineStr">
        <is>
          <t>Y</t>
        </is>
      </c>
      <c r="E5" s="8" t="inlineStr">
        <is>
          <t>VICKI ZERTOPOULOS</t>
        </is>
      </c>
      <c r="F5" s="8" t="inlineStr">
        <is>
          <t>2021-03-22</t>
        </is>
      </c>
      <c r="G5" s="8" t="n"/>
    </row>
    <row r="6">
      <c r="A6" s="7" t="n">
        <v>44275</v>
      </c>
      <c r="B6" s="8" t="inlineStr">
        <is>
          <t>CABCHARGE AUSTRALIA DARLINGHURST</t>
        </is>
      </c>
      <c r="C6" s="9" t="n">
        <v>1</v>
      </c>
      <c r="D6" s="15" t="inlineStr">
        <is>
          <t>Y</t>
        </is>
      </c>
      <c r="E6" s="8" t="inlineStr">
        <is>
          <t>VICKI ZERTOPOULOS</t>
        </is>
      </c>
      <c r="F6" s="8" t="inlineStr">
        <is>
          <t>2021-03-22</t>
        </is>
      </c>
      <c r="G6" s="8" t="n"/>
    </row>
    <row r="7">
      <c r="A7" s="7" t="n">
        <v>44347</v>
      </c>
      <c r="B7" s="8" t="inlineStr">
        <is>
          <t>CABCHARGE AUSTRALIA DARLINGHURST</t>
        </is>
      </c>
      <c r="C7" s="9" t="n">
        <v>24.3</v>
      </c>
      <c r="D7" s="15" t="inlineStr">
        <is>
          <t>Y</t>
        </is>
      </c>
      <c r="E7" s="8" t="inlineStr">
        <is>
          <t>VICKI ZERTOPOULOS</t>
        </is>
      </c>
      <c r="F7" s="8" t="inlineStr">
        <is>
          <t>2021-06-22</t>
        </is>
      </c>
      <c r="G7" s="8" t="n"/>
    </row>
    <row r="8">
      <c r="A8" s="7" t="n">
        <v>44347</v>
      </c>
      <c r="B8" s="8" t="inlineStr">
        <is>
          <t>CABCHARGE AUSTRALIA DARLINGHURST</t>
        </is>
      </c>
      <c r="C8" s="9" t="n">
        <v>1</v>
      </c>
      <c r="D8" s="15" t="inlineStr">
        <is>
          <t>Y</t>
        </is>
      </c>
      <c r="E8" s="8" t="inlineStr">
        <is>
          <t>VICKI ZERTOPOULOS</t>
        </is>
      </c>
      <c r="F8" s="8" t="inlineStr">
        <is>
          <t>2021-06-22</t>
        </is>
      </c>
      <c r="G8" s="8" t="n"/>
    </row>
    <row r="9">
      <c r="A9" s="7" t="n">
        <v>44020</v>
      </c>
      <c r="B9" s="8" t="inlineStr">
        <is>
          <t>MSFT *&lt;E0300BHXCI&gt; SYDNEY</t>
        </is>
      </c>
      <c r="C9" s="9" t="n">
        <v>6.05</v>
      </c>
      <c r="D9" s="15" t="inlineStr">
        <is>
          <t>Y</t>
        </is>
      </c>
      <c r="E9" s="8" t="inlineStr">
        <is>
          <t>VICKI ZERTOPOULOS</t>
        </is>
      </c>
      <c r="F9" s="8" t="inlineStr">
        <is>
          <t>2020-07-22</t>
        </is>
      </c>
      <c r="G9" s="8" t="n"/>
    </row>
    <row r="10">
      <c r="A10" s="7" t="n">
        <v>44051</v>
      </c>
      <c r="B10" s="8" t="inlineStr">
        <is>
          <t>MSFT *&lt;E0300BRSRP&gt; SYDNEY</t>
        </is>
      </c>
      <c r="C10" s="9" t="n">
        <v>6.05</v>
      </c>
      <c r="D10" s="15" t="inlineStr">
        <is>
          <t>Y</t>
        </is>
      </c>
      <c r="E10" s="8" t="inlineStr">
        <is>
          <t>VICKI ZERTOPOULOS</t>
        </is>
      </c>
      <c r="F10" s="8" t="inlineStr">
        <is>
          <t>2020-08-22</t>
        </is>
      </c>
      <c r="G10" s="8" t="n"/>
    </row>
    <row r="11">
      <c r="A11" s="7" t="n">
        <v>44082</v>
      </c>
      <c r="B11" s="8" t="inlineStr">
        <is>
          <t>MSFT *&lt;E0300C1URI&gt; SYDNEY</t>
        </is>
      </c>
      <c r="C11" s="9" t="n">
        <v>6.05</v>
      </c>
      <c r="D11" s="15" t="inlineStr">
        <is>
          <t>Y</t>
        </is>
      </c>
      <c r="E11" s="8" t="inlineStr">
        <is>
          <t>VICKI ZERTOPOULOS</t>
        </is>
      </c>
      <c r="F11" s="8" t="inlineStr">
        <is>
          <t>2020-09-22</t>
        </is>
      </c>
      <c r="G11" s="8" t="n"/>
    </row>
    <row r="12">
      <c r="A12" s="7" t="n">
        <v>44111</v>
      </c>
      <c r="B12" s="8" t="inlineStr">
        <is>
          <t>MSFT *&lt;E0300CBOME&gt; SYDNEY</t>
        </is>
      </c>
      <c r="C12" s="9" t="n">
        <v>6.05</v>
      </c>
      <c r="D12" s="15" t="inlineStr">
        <is>
          <t>Y</t>
        </is>
      </c>
      <c r="E12" s="8" t="inlineStr">
        <is>
          <t>VICKI ZERTOPOULOS</t>
        </is>
      </c>
      <c r="F12" s="8" t="inlineStr">
        <is>
          <t>2020-10-22</t>
        </is>
      </c>
      <c r="G12" s="8" t="n"/>
    </row>
    <row r="13">
      <c r="A13" s="7" t="n">
        <v>44143</v>
      </c>
      <c r="B13" s="8" t="inlineStr">
        <is>
          <t>MSFT *&lt;E0300CM2XQ&gt; MSBILL.INFO</t>
        </is>
      </c>
      <c r="C13" s="9" t="n">
        <v>6.05</v>
      </c>
      <c r="D13" s="15" t="inlineStr">
        <is>
          <t>Y</t>
        </is>
      </c>
      <c r="E13" s="8" t="inlineStr">
        <is>
          <t>VICKI ZERTOPOULOS</t>
        </is>
      </c>
      <c r="F13" s="8" t="inlineStr">
        <is>
          <t>2020-11-22</t>
        </is>
      </c>
      <c r="G13" s="8" t="n"/>
    </row>
    <row r="14">
      <c r="A14" s="7" t="n">
        <v>44173</v>
      </c>
      <c r="B14" s="8" t="inlineStr">
        <is>
          <t>MSFT *&lt;E0300CWIHA&gt; SYDNEY</t>
        </is>
      </c>
      <c r="C14" s="9" t="n">
        <v>6.05</v>
      </c>
      <c r="D14" s="15" t="inlineStr">
        <is>
          <t>Y</t>
        </is>
      </c>
      <c r="E14" s="8" t="inlineStr">
        <is>
          <t>VICKI ZERTOPOULOS</t>
        </is>
      </c>
      <c r="F14" s="8" t="inlineStr">
        <is>
          <t>2020-12-22</t>
        </is>
      </c>
      <c r="G14" s="8" t="n"/>
    </row>
    <row r="15">
      <c r="A15" s="7" t="n">
        <v>44204</v>
      </c>
      <c r="B15" s="8" t="inlineStr">
        <is>
          <t>MSFT *&lt;E0300D71DD&gt; MSBILL.INFO</t>
        </is>
      </c>
      <c r="C15" s="9" t="n">
        <v>6.05</v>
      </c>
      <c r="D15" s="15" t="inlineStr">
        <is>
          <t>Y</t>
        </is>
      </c>
      <c r="E15" s="8" t="inlineStr">
        <is>
          <t>VICKI ZERTOPOULOS</t>
        </is>
      </c>
      <c r="F15" s="8" t="inlineStr">
        <is>
          <t>2021-01-22</t>
        </is>
      </c>
      <c r="G15" s="8" t="n"/>
    </row>
    <row r="16">
      <c r="A16" s="7" t="n">
        <v>44235</v>
      </c>
      <c r="B16" s="8" t="inlineStr">
        <is>
          <t>MSFT *&lt;E0300DI4NR&gt; MSBILL.INFO</t>
        </is>
      </c>
      <c r="C16" s="9" t="n">
        <v>6.05</v>
      </c>
      <c r="D16" s="15" t="inlineStr">
        <is>
          <t>Y</t>
        </is>
      </c>
      <c r="E16" s="8" t="inlineStr">
        <is>
          <t>VICKI ZERTOPOULOS</t>
        </is>
      </c>
      <c r="F16" s="8" t="inlineStr">
        <is>
          <t>2021-02-22</t>
        </is>
      </c>
      <c r="G16" s="8" t="n"/>
    </row>
    <row r="17">
      <c r="A17" s="7" t="n">
        <v>44263</v>
      </c>
      <c r="B17" s="8" t="inlineStr">
        <is>
          <t>MSFT *&lt;E0300DT17F&gt; MSBILL.INFO</t>
        </is>
      </c>
      <c r="C17" s="9" t="n">
        <v>6.05</v>
      </c>
      <c r="D17" s="15" t="inlineStr">
        <is>
          <t>Y</t>
        </is>
      </c>
      <c r="E17" s="8" t="inlineStr">
        <is>
          <t>VICKI ZERTOPOULOS</t>
        </is>
      </c>
      <c r="F17" s="8" t="inlineStr">
        <is>
          <t>2021-03-22</t>
        </is>
      </c>
      <c r="G17" s="8" t="n"/>
    </row>
    <row r="18">
      <c r="A18" s="7" t="n">
        <v>44294</v>
      </c>
      <c r="B18" s="8" t="inlineStr">
        <is>
          <t>MSFT *&lt;E0300E45L3&gt; MSBILL.INFO</t>
        </is>
      </c>
      <c r="C18" s="9" t="n">
        <v>6.05</v>
      </c>
      <c r="D18" s="15" t="inlineStr">
        <is>
          <t>Y</t>
        </is>
      </c>
      <c r="E18" s="8" t="inlineStr">
        <is>
          <t>VICKI ZERTOPOULOS</t>
        </is>
      </c>
      <c r="F18" s="8" t="inlineStr">
        <is>
          <t>2021-04-22</t>
        </is>
      </c>
      <c r="G18" s="8" t="n"/>
    </row>
    <row r="19">
      <c r="A19" s="7" t="n">
        <v>44325</v>
      </c>
      <c r="B19" s="8" t="inlineStr">
        <is>
          <t>MSFT *&lt;E0300EFX8W&gt; MSBILL.INFO</t>
        </is>
      </c>
      <c r="C19" s="9" t="n">
        <v>6.05</v>
      </c>
      <c r="D19" s="15" t="inlineStr">
        <is>
          <t>Y</t>
        </is>
      </c>
      <c r="E19" s="8" t="inlineStr">
        <is>
          <t>VICKI ZERTOPOULOS</t>
        </is>
      </c>
      <c r="F19" s="8" t="inlineStr">
        <is>
          <t>2021-05-22</t>
        </is>
      </c>
      <c r="G19" s="8" t="n"/>
    </row>
    <row r="20">
      <c r="A20" s="7" t="n">
        <v>44357</v>
      </c>
      <c r="B20" s="8" t="inlineStr">
        <is>
          <t>MSFT *&lt;E0300ERH6U&gt; MSBILL.INFO</t>
        </is>
      </c>
      <c r="C20" s="9" t="n">
        <v>6.05</v>
      </c>
      <c r="D20" s="15" t="inlineStr">
        <is>
          <t>Y</t>
        </is>
      </c>
      <c r="E20" s="8" t="inlineStr">
        <is>
          <t>VICKI ZERTOPOULOS</t>
        </is>
      </c>
      <c r="F20" s="8" t="inlineStr">
        <is>
          <t>2021-06-22</t>
        </is>
      </c>
      <c r="G20" s="8" t="n"/>
    </row>
    <row r="21">
      <c r="A21" s="7" t="n">
        <v>44146</v>
      </c>
      <c r="B21" s="8" t="inlineStr">
        <is>
          <t>NETREGISTRY ULTIMO</t>
        </is>
      </c>
      <c r="C21" s="9" t="n">
        <v>26.45</v>
      </c>
      <c r="D21" s="15" t="inlineStr">
        <is>
          <t>Y</t>
        </is>
      </c>
      <c r="E21" s="8" t="inlineStr">
        <is>
          <t>VICKI ZERTOPOULOS</t>
        </is>
      </c>
      <c r="F21" s="8" t="inlineStr">
        <is>
          <t>2020-11-22</t>
        </is>
      </c>
      <c r="G21" s="8" t="n"/>
    </row>
    <row r="22">
      <c r="A22" s="7" t="n">
        <v>44147</v>
      </c>
      <c r="B22" s="8" t="inlineStr">
        <is>
          <t>NETREGISTRY ULTIMO</t>
        </is>
      </c>
      <c r="C22" s="9" t="n">
        <v>46.95</v>
      </c>
      <c r="D22" s="15" t="inlineStr">
        <is>
          <t>Y</t>
        </is>
      </c>
      <c r="E22" s="8" t="inlineStr">
        <is>
          <t>VICKI ZERTOPOULOS</t>
        </is>
      </c>
      <c r="F22" s="8" t="inlineStr">
        <is>
          <t>2020-11-22</t>
        </is>
      </c>
      <c r="G22" s="8" t="n"/>
    </row>
    <row r="23">
      <c r="A23" s="7" t="n">
        <v>44055</v>
      </c>
      <c r="B23" s="8" t="inlineStr">
        <is>
          <t>PAYPAL *KMARTAUSTRA 03990223028</t>
        </is>
      </c>
      <c r="C23" s="9" t="n">
        <v>79</v>
      </c>
      <c r="D23" s="15" t="inlineStr">
        <is>
          <t>Y</t>
        </is>
      </c>
      <c r="E23" s="8" t="inlineStr">
        <is>
          <t>VICKI ZERTOPOULOS</t>
        </is>
      </c>
      <c r="F23" s="8" t="inlineStr">
        <is>
          <t>2020-08-22</t>
        </is>
      </c>
      <c r="G23" s="8" t="n"/>
    </row>
    <row r="24">
      <c r="A24" s="7" t="n">
        <v>44056</v>
      </c>
      <c r="B24" s="8" t="inlineStr">
        <is>
          <t>PAYPAL *KMARTAUSTRA 03990223028</t>
        </is>
      </c>
      <c r="C24" s="9" t="n">
        <v>49.95</v>
      </c>
      <c r="D24" s="15" t="inlineStr">
        <is>
          <t>Y</t>
        </is>
      </c>
      <c r="E24" s="8" t="inlineStr">
        <is>
          <t>VICKI ZERTOPOULOS</t>
        </is>
      </c>
      <c r="F24" s="8" t="inlineStr">
        <is>
          <t>2020-08-22</t>
        </is>
      </c>
      <c r="G24" s="8" t="n"/>
    </row>
    <row r="25">
      <c r="A25" s="7" t="n">
        <v>44096</v>
      </c>
      <c r="B25" s="8" t="inlineStr">
        <is>
          <t>PAYPAL *KMARTAUSTRA 03990223028</t>
        </is>
      </c>
      <c r="C25" s="9" t="n">
        <v>26</v>
      </c>
      <c r="D25" s="15" t="inlineStr">
        <is>
          <t>Y</t>
        </is>
      </c>
      <c r="E25" s="8" t="inlineStr">
        <is>
          <t>VICKI ZERTOPOULOS</t>
        </is>
      </c>
      <c r="F25" s="8" t="inlineStr">
        <is>
          <t>2020-10-22</t>
        </is>
      </c>
      <c r="G25" s="8" t="n"/>
    </row>
    <row r="26">
      <c r="A26" s="7" t="n">
        <v>44096</v>
      </c>
      <c r="B26" s="8" t="inlineStr">
        <is>
          <t>PAYPAL *KMARTAUSTRA 03990223028</t>
        </is>
      </c>
      <c r="C26" s="9" t="n">
        <v>16</v>
      </c>
      <c r="D26" s="15" t="inlineStr">
        <is>
          <t>Y</t>
        </is>
      </c>
      <c r="E26" s="8" t="inlineStr">
        <is>
          <t>VICKI ZERTOPOULOS</t>
        </is>
      </c>
      <c r="F26" s="8" t="inlineStr">
        <is>
          <t>2020-10-22</t>
        </is>
      </c>
      <c r="G26" s="8" t="n"/>
    </row>
    <row r="27">
      <c r="A27" s="7" t="n">
        <v>44272</v>
      </c>
      <c r="B27" s="8" t="inlineStr">
        <is>
          <t>PAYPAL *KMARTAUSTRA 03990223028</t>
        </is>
      </c>
      <c r="C27" s="9" t="n">
        <v>27</v>
      </c>
      <c r="D27" s="15" t="inlineStr">
        <is>
          <t>Y</t>
        </is>
      </c>
      <c r="E27" s="8" t="inlineStr">
        <is>
          <t>VICKI ZERTOPOULOS</t>
        </is>
      </c>
      <c r="F27" s="8" t="inlineStr">
        <is>
          <t>2021-03-22</t>
        </is>
      </c>
      <c r="G27" s="8" t="n"/>
    </row>
    <row r="28">
      <c r="B28" s="11" t="inlineStr">
        <is>
          <t>TOTAL (all rows above)</t>
        </is>
      </c>
      <c r="C28" s="12">
        <f>SUM(C5:C27)</f>
        <v/>
      </c>
      <c r="D28" s="13">
        <f>SUMIF(D5:D27,"Y",C5:C27)</f>
        <v/>
      </c>
    </row>
    <row r="29">
      <c r="B29" s="14" t="inlineStr">
        <is>
          <t>↑ col C = total of listed items; col D = total you've marked 'Y' (business)</t>
        </is>
      </c>
    </row>
  </sheetData>
  <autoFilter ref="A4:G27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2026-10-27T09:13:14Z</dcterms:created>
  <dcterms:modified xsi:type="dcterms:W3CDTF">2026-10-27T09:13:14Z</dcterms:modified>
</cp:coreProperties>
</file>